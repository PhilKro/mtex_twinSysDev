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1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brievans/Missisqoui documents/MQ Class/MQ Class 12_456 Crystallography/Calcite crystallography/Calcite Latt Geom Data Drawings/"/>
    </mc:Choice>
  </mc:AlternateContent>
  <xr:revisionPtr revIDLastSave="0" documentId="13_ncr:1_{7880EAE6-A109-2449-9AE1-EC72A1F8D8A4}" xr6:coauthVersionLast="46" xr6:coauthVersionMax="46" xr10:uidLastSave="{00000000-0000-0000-0000-000000000000}"/>
  <bookViews>
    <workbookView xWindow="0" yWindow="460" windowWidth="28800" windowHeight="1668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39" i="1" l="1"/>
  <c r="U39" i="1"/>
  <c r="V39" i="1"/>
  <c r="T40" i="1"/>
  <c r="U40" i="1"/>
  <c r="V40" i="1"/>
  <c r="T38" i="1"/>
  <c r="U38" i="1"/>
  <c r="V38" i="1"/>
  <c r="V47" i="1"/>
  <c r="V48" i="1"/>
  <c r="V46" i="1"/>
  <c r="T35" i="1"/>
  <c r="U35" i="1"/>
  <c r="V35" i="1"/>
  <c r="T36" i="1"/>
  <c r="U36" i="1"/>
  <c r="V36" i="1"/>
  <c r="T34" i="1"/>
  <c r="U34" i="1"/>
  <c r="V34" i="1"/>
  <c r="P11" i="1"/>
  <c r="U11" i="1" s="1"/>
  <c r="Z11" i="1" s="1"/>
  <c r="Q11" i="1"/>
  <c r="V11" i="1"/>
  <c r="O11" i="1"/>
  <c r="T11" i="1"/>
  <c r="P10" i="1"/>
  <c r="Q10" i="1"/>
  <c r="U10" i="1"/>
  <c r="V10" i="1"/>
  <c r="Z10" i="1"/>
  <c r="O10" i="1"/>
  <c r="T10" i="1"/>
  <c r="Y10" i="1"/>
  <c r="U9" i="1"/>
  <c r="V9" i="1"/>
  <c r="Z9" i="1"/>
  <c r="T9" i="1"/>
  <c r="Y9" i="1"/>
  <c r="G17" i="1"/>
  <c r="H17" i="1"/>
  <c r="AJ10" i="1"/>
  <c r="K6" i="1" s="1" a="1"/>
  <c r="AK10" i="1"/>
  <c r="G18" i="1"/>
  <c r="H18" i="1"/>
  <c r="K18" i="1" a="1"/>
  <c r="K18" i="1" s="1"/>
  <c r="G21" i="1"/>
  <c r="I22" i="1"/>
  <c r="G22" i="1"/>
  <c r="H22" i="1"/>
  <c r="AP2" i="1"/>
  <c r="AS12" i="1" s="1"/>
  <c r="AN3" i="1"/>
  <c r="AR5" i="1" s="1"/>
  <c r="AR3" i="1"/>
  <c r="AQ3" i="1" s="1"/>
  <c r="AR2" i="1"/>
  <c r="AQ2" i="1" s="1"/>
  <c r="AQ10" i="1"/>
  <c r="AR11" i="1" s="1"/>
  <c r="AN2" i="1"/>
  <c r="AR10" i="1" s="1"/>
  <c r="AO5" i="1"/>
  <c r="AN5" i="1"/>
  <c r="T6" i="1"/>
  <c r="Y6" i="1" s="1"/>
  <c r="V6" i="1"/>
  <c r="U6" i="1"/>
  <c r="Z6" i="1" s="1"/>
  <c r="T7" i="1"/>
  <c r="Y7" i="1" s="1"/>
  <c r="V7" i="1"/>
  <c r="U7" i="1"/>
  <c r="Z7" i="1" s="1"/>
  <c r="T13" i="1"/>
  <c r="V13" i="1"/>
  <c r="U13" i="1"/>
  <c r="Z13" i="1" s="1"/>
  <c r="AE7" i="1" s="1"/>
  <c r="Y13" i="1"/>
  <c r="AG7" i="1" s="1"/>
  <c r="O14" i="1"/>
  <c r="T14" i="1" s="1"/>
  <c r="Y14" i="1" s="1"/>
  <c r="Q14" i="1"/>
  <c r="V14" i="1"/>
  <c r="P14" i="1"/>
  <c r="U14" i="1"/>
  <c r="Z14" i="1" s="1"/>
  <c r="O15" i="1"/>
  <c r="T15" i="1" s="1"/>
  <c r="Q15" i="1"/>
  <c r="V15" i="1"/>
  <c r="P15" i="1"/>
  <c r="U15" i="1" s="1"/>
  <c r="Z15" i="1" s="1"/>
  <c r="T21" i="1"/>
  <c r="V21" i="1"/>
  <c r="U21" i="1"/>
  <c r="Z21" i="1" s="1"/>
  <c r="Y21" i="1"/>
  <c r="O22" i="1"/>
  <c r="T22" i="1" s="1"/>
  <c r="Y22" i="1" s="1"/>
  <c r="Q22" i="1"/>
  <c r="V22" i="1"/>
  <c r="P22" i="1"/>
  <c r="U22" i="1"/>
  <c r="Z22" i="1" s="1"/>
  <c r="O23" i="1"/>
  <c r="T23" i="1" s="1"/>
  <c r="Y23" i="1" s="1"/>
  <c r="Q23" i="1"/>
  <c r="V23" i="1"/>
  <c r="P23" i="1"/>
  <c r="U23" i="1" s="1"/>
  <c r="Z23" i="1" s="1"/>
  <c r="T17" i="1"/>
  <c r="V17" i="1"/>
  <c r="U17" i="1"/>
  <c r="Z17" i="1" s="1"/>
  <c r="Y17" i="1"/>
  <c r="AF15" i="1" s="1"/>
  <c r="T18" i="1"/>
  <c r="Y18" i="1" s="1"/>
  <c r="V18" i="1"/>
  <c r="U18" i="1"/>
  <c r="Z18" i="1"/>
  <c r="T19" i="1"/>
  <c r="Y19" i="1" s="1"/>
  <c r="V19" i="1"/>
  <c r="U19" i="1"/>
  <c r="Z19" i="1" s="1"/>
  <c r="T25" i="1"/>
  <c r="Y25" i="1" s="1"/>
  <c r="V25" i="1"/>
  <c r="U25" i="1"/>
  <c r="Z25" i="1" s="1"/>
  <c r="T26" i="1"/>
  <c r="V26" i="1"/>
  <c r="U26" i="1"/>
  <c r="Z26" i="1" s="1"/>
  <c r="Y26" i="1"/>
  <c r="AE20" i="1" s="1"/>
  <c r="T27" i="1"/>
  <c r="Y27" i="1" s="1"/>
  <c r="V27" i="1"/>
  <c r="U27" i="1"/>
  <c r="Z27" i="1"/>
  <c r="T5" i="1"/>
  <c r="Y5" i="1" s="1"/>
  <c r="V5" i="1"/>
  <c r="U5" i="1"/>
  <c r="Z5" i="1" s="1"/>
  <c r="H19" i="1"/>
  <c r="G19" i="1"/>
  <c r="I15" i="1"/>
  <c r="H15" i="1"/>
  <c r="G15" i="1"/>
  <c r="I14" i="1"/>
  <c r="H14" i="1"/>
  <c r="G14" i="1"/>
  <c r="I13" i="1"/>
  <c r="H13" i="1"/>
  <c r="G13" i="1"/>
  <c r="I11" i="1"/>
  <c r="H11" i="1"/>
  <c r="G11" i="1"/>
  <c r="I10" i="1"/>
  <c r="H10" i="1"/>
  <c r="G10" i="1"/>
  <c r="I9" i="1"/>
  <c r="H9" i="1"/>
  <c r="G9" i="1"/>
  <c r="I7" i="1"/>
  <c r="H7" i="1"/>
  <c r="G7" i="1"/>
  <c r="I6" i="1"/>
  <c r="H6" i="1"/>
  <c r="G6" i="1"/>
  <c r="I5" i="1"/>
  <c r="H5" i="1"/>
  <c r="G5" i="1"/>
  <c r="AM15" i="1" s="1" a="1"/>
  <c r="K5" i="1" a="1"/>
  <c r="K5" i="1" s="1"/>
  <c r="K7" i="1" a="1"/>
  <c r="K7" i="1" s="1"/>
  <c r="K15" i="1" a="1"/>
  <c r="K15" i="1" s="1"/>
  <c r="K13" i="1" a="1"/>
  <c r="K13" i="1" s="1"/>
  <c r="K11" i="1" a="1"/>
  <c r="K11" i="1" s="1"/>
  <c r="K10" i="1" a="1"/>
  <c r="K10" i="1" s="1"/>
  <c r="K9" i="1" a="1"/>
  <c r="K9" i="1" s="1"/>
  <c r="F38" i="1" a="1"/>
  <c r="F38" i="1" s="1"/>
  <c r="F39" i="1" a="1"/>
  <c r="F39" i="1" s="1"/>
  <c r="F40" i="1" a="1"/>
  <c r="F40" i="1" s="1"/>
  <c r="AQ11" i="1" l="1"/>
  <c r="AD4" i="1" s="1" a="1"/>
  <c r="AD4" i="1" s="1"/>
  <c r="AM15" i="1"/>
  <c r="AM16" i="1"/>
  <c r="AM17" i="1"/>
  <c r="AG16" i="1"/>
  <c r="AF16" i="1"/>
  <c r="AE16" i="1"/>
  <c r="AF13" i="1"/>
  <c r="AG13" i="1"/>
  <c r="AE13" i="1"/>
  <c r="AE8" i="1"/>
  <c r="AG8" i="1"/>
  <c r="AF8" i="1"/>
  <c r="AE19" i="1"/>
  <c r="AG19" i="1"/>
  <c r="AF19" i="1"/>
  <c r="AG21" i="1"/>
  <c r="AE21" i="1"/>
  <c r="AF21" i="1"/>
  <c r="AS5" i="1"/>
  <c r="AR7" i="1"/>
  <c r="AQ6" i="1"/>
  <c r="AQ7" i="1" s="1"/>
  <c r="AS6" i="1"/>
  <c r="K6" i="1"/>
  <c r="L6" i="1"/>
  <c r="M6" i="1"/>
  <c r="Y11" i="1"/>
  <c r="AF5" i="1"/>
  <c r="AG5" i="1"/>
  <c r="AE5" i="1"/>
  <c r="AE17" i="1"/>
  <c r="AF17" i="1"/>
  <c r="AG17" i="1"/>
  <c r="AF4" i="1"/>
  <c r="AE4" i="1"/>
  <c r="AG4" i="1"/>
  <c r="AF12" i="1"/>
  <c r="AG12" i="1"/>
  <c r="AE12" i="1"/>
  <c r="Y15" i="1"/>
  <c r="AG3" i="1"/>
  <c r="AF3" i="1"/>
  <c r="AE3" i="1"/>
  <c r="AD3" i="1" s="1" a="1"/>
  <c r="AD3" i="1" s="1"/>
  <c r="AG11" i="1"/>
  <c r="K19" i="1" a="1"/>
  <c r="AF11" i="1"/>
  <c r="H40" i="1"/>
  <c r="H38" i="1"/>
  <c r="M10" i="1"/>
  <c r="M13" i="1"/>
  <c r="M15" i="1"/>
  <c r="M7" i="1"/>
  <c r="M5" i="1"/>
  <c r="AE15" i="1"/>
  <c r="AF20" i="1"/>
  <c r="AQ5" i="1"/>
  <c r="M18" i="1"/>
  <c r="K17" i="1" a="1"/>
  <c r="K14" i="1" a="1"/>
  <c r="G40" i="1"/>
  <c r="G38" i="1"/>
  <c r="L10" i="1"/>
  <c r="L13" i="1"/>
  <c r="L15" i="1"/>
  <c r="L7" i="1"/>
  <c r="L5" i="1"/>
  <c r="AD19" i="1" a="1"/>
  <c r="AD19" i="1" s="1"/>
  <c r="L18" i="1"/>
  <c r="AF7" i="1"/>
  <c r="AE11" i="1"/>
  <c r="AG20" i="1"/>
  <c r="AG15" i="1"/>
  <c r="H39" i="1"/>
  <c r="M9" i="1"/>
  <c r="M11" i="1"/>
  <c r="L11" i="1"/>
  <c r="G39" i="1"/>
  <c r="L9" i="1"/>
  <c r="K19" i="1" l="1"/>
  <c r="L19" i="1"/>
  <c r="M19" i="1"/>
  <c r="K14" i="1"/>
  <c r="L14" i="1"/>
  <c r="M14" i="1"/>
  <c r="L17" i="1"/>
  <c r="M17" i="1"/>
  <c r="K17" i="1"/>
  <c r="AD11" i="1" a="1"/>
  <c r="AD11" i="1" s="1"/>
  <c r="AB18" i="1" a="1"/>
  <c r="AB18" i="1" s="1"/>
  <c r="AB7" i="1" a="1"/>
  <c r="AB7" i="1" s="1"/>
  <c r="AB9" i="1" a="1"/>
  <c r="AB9" i="1" s="1"/>
  <c r="AB21" i="1" a="1"/>
  <c r="AB21" i="1" s="1"/>
  <c r="AB27" i="1" a="1"/>
  <c r="AB27" i="1" s="1"/>
  <c r="AB13" i="1" a="1"/>
  <c r="AB13" i="1" s="1"/>
  <c r="AB14" i="1" a="1"/>
  <c r="AB14" i="1" s="1"/>
  <c r="AB23" i="1" a="1"/>
  <c r="AB23" i="1" s="1"/>
  <c r="AB25" i="1" a="1"/>
  <c r="AB25" i="1" s="1"/>
  <c r="AB10" i="1" a="1"/>
  <c r="AB10" i="1" s="1"/>
  <c r="AB11" i="1" a="1"/>
  <c r="AB11" i="1" s="1"/>
  <c r="AB5" i="1" a="1"/>
  <c r="AB5" i="1" s="1"/>
  <c r="AS7" i="1"/>
  <c r="AR6" i="1"/>
  <c r="AB22" i="1" s="1" a="1"/>
  <c r="AB22" i="1" s="1"/>
  <c r="AB15" i="1" a="1"/>
  <c r="AB15" i="1" s="1"/>
  <c r="AB17" i="1" a="1"/>
  <c r="AB17" i="1" s="1"/>
  <c r="AB26" i="1" a="1"/>
  <c r="AB26" i="1" s="1"/>
  <c r="AB6" i="1" a="1"/>
  <c r="AB6" i="1" s="1"/>
  <c r="AE9" i="1"/>
  <c r="AG9" i="1"/>
  <c r="AF9" i="1"/>
  <c r="AB19" i="1" l="1" a="1"/>
  <c r="AB19" i="1" s="1"/>
</calcChain>
</file>

<file path=xl/sharedStrings.xml><?xml version="1.0" encoding="utf-8"?>
<sst xmlns="http://schemas.openxmlformats.org/spreadsheetml/2006/main" count="97" uniqueCount="70">
  <si>
    <t xml:space="preserve">Planes </t>
    <phoneticPr fontId="0" type="noConversion"/>
  </si>
  <si>
    <t>Directions</t>
    <phoneticPr fontId="0" type="noConversion"/>
  </si>
  <si>
    <t>MB</t>
    <phoneticPr fontId="0" type="noConversion"/>
  </si>
  <si>
    <t>HEX</t>
    <phoneticPr fontId="0" type="noConversion"/>
  </si>
  <si>
    <t>MB</t>
  </si>
  <si>
    <t>HEX</t>
  </si>
  <si>
    <t>Trig Prim</t>
  </si>
  <si>
    <t>length</t>
  </si>
  <si>
    <t>check by converting trig prim to hex struct</t>
  </si>
  <si>
    <t>Grs2hs</t>
  </si>
  <si>
    <t>Frs2hs</t>
  </si>
  <si>
    <t>Ghs2rs</t>
  </si>
  <si>
    <t>Fhs2rs</t>
  </si>
  <si>
    <t>metric rs</t>
  </si>
  <si>
    <t>metric hs</t>
  </si>
  <si>
    <t>a1</t>
  </si>
  <si>
    <t>c</t>
  </si>
  <si>
    <t>a1xa1</t>
  </si>
  <si>
    <t>cxc</t>
  </si>
  <si>
    <t>cos(th)</t>
  </si>
  <si>
    <t>th</t>
  </si>
  <si>
    <t>check lengths</t>
  </si>
  <si>
    <t>wgHEX</t>
  </si>
  <si>
    <t>TWIN DIRECTIONS</t>
  </si>
  <si>
    <t>NEGATIVE F SLIP</t>
  </si>
  <si>
    <t>(ALSO POSITIVE SLIP)</t>
  </si>
  <si>
    <t>b3</t>
  </si>
  <si>
    <t>b8</t>
  </si>
  <si>
    <t>b2</t>
  </si>
  <si>
    <t>A Slip</t>
  </si>
  <si>
    <t>C Slip</t>
  </si>
  <si>
    <t>F Slip</t>
  </si>
  <si>
    <t>R Slip</t>
  </si>
  <si>
    <t>E Twin</t>
  </si>
  <si>
    <t>b1</t>
  </si>
  <si>
    <t>b4</t>
  </si>
  <si>
    <t>A Slip or C Slip</t>
  </si>
  <si>
    <t>C Slip (Minor?)</t>
  </si>
  <si>
    <t>A Slip (Minor?)</t>
  </si>
  <si>
    <t>A or C Slip (??)</t>
  </si>
  <si>
    <t>NEGATIVE R SLIP</t>
  </si>
  <si>
    <t>Positive and negative sense according to de Bresser</t>
  </si>
  <si>
    <t>Twinning also on r+ and f- systems</t>
  </si>
  <si>
    <t>{10-14}&lt;-202-1&gt;      and  {-1012}&lt;-101-1&gt;</t>
  </si>
  <si>
    <t>Burgers vector numbered according to Paterson</t>
  </si>
  <si>
    <r>
      <t xml:space="preserve">i.e., </t>
    </r>
    <r>
      <rPr>
        <b/>
        <i/>
        <sz val="12"/>
        <color theme="1"/>
        <rFont val="Calibri"/>
        <scheme val="minor"/>
      </rPr>
      <t>b3 &amp;</t>
    </r>
    <r>
      <rPr>
        <sz val="12"/>
        <color theme="1"/>
        <rFont val="Calibri"/>
        <family val="2"/>
        <scheme val="minor"/>
      </rPr>
      <t xml:space="preserve"> </t>
    </r>
    <r>
      <rPr>
        <b/>
        <i/>
        <sz val="12"/>
        <color theme="1"/>
        <rFont val="Calibri"/>
        <scheme val="minor"/>
      </rPr>
      <t>b2</t>
    </r>
  </si>
  <si>
    <t>Distances calculated using Metric tensors</t>
  </si>
  <si>
    <t>Twin Elements</t>
  </si>
  <si>
    <t>h1</t>
  </si>
  <si>
    <t>Undistorted vector</t>
  </si>
  <si>
    <t>Normal to S</t>
  </si>
  <si>
    <t>M-B Structural</t>
  </si>
  <si>
    <t>M Struc</t>
  </si>
  <si>
    <t>Trig Primitive</t>
  </si>
  <si>
    <t>Rhomb Morph</t>
  </si>
  <si>
    <t>Hex Morp</t>
  </si>
  <si>
    <t>(a plane)</t>
  </si>
  <si>
    <t>(r plane)</t>
  </si>
  <si>
    <t>(e plane)</t>
  </si>
  <si>
    <t>check modulii</t>
  </si>
  <si>
    <t>S</t>
  </si>
  <si>
    <t>K!</t>
  </si>
  <si>
    <t>E Twin Plane</t>
  </si>
  <si>
    <t>Undistored plane</t>
  </si>
  <si>
    <t>K2</t>
  </si>
  <si>
    <t>Twin section</t>
  </si>
  <si>
    <t>Twin shear</t>
  </si>
  <si>
    <t>(rhomb edge)</t>
  </si>
  <si>
    <t>(a direction)</t>
  </si>
  <si>
    <t>Slip planes and directions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</si>
</sst>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2"/>
      <color theme="1"/>
      <name val="Calibri"/>
      <family val="2"/>
      <scheme val="minor"/>
    </font>
    <font>
      <sz val="10"/>
      <color rgb="FFFFFF66"/>
      <name val="Verdana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u/>
      <sz val="12"/>
      <color theme="1"/>
      <name val="Calibri"/>
      <scheme val="minor"/>
    </font>
    <font>
      <b/>
      <i/>
      <sz val="12"/>
      <color theme="1"/>
      <name val="Calibri"/>
      <scheme val="minor"/>
    </font>
    <font>
      <b/>
      <i/>
      <sz val="10"/>
      <name val="Verdana"/>
    </font>
    <font>
      <sz val="10"/>
      <color theme="1"/>
      <name val="Calibri"/>
      <scheme val="minor"/>
    </font>
    <font>
      <u/>
      <sz val="10"/>
      <color theme="1"/>
      <name val="Calibri"/>
      <scheme val="minor"/>
    </font>
    <font>
      <b/>
      <i/>
      <sz val="10"/>
      <color theme="1"/>
      <name val="Calibri"/>
      <scheme val="minor"/>
    </font>
    <font>
      <sz val="10"/>
      <color theme="1"/>
      <name val="Symbol"/>
    </font>
    <font>
      <sz val="16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66"/>
        <bgColor rgb="FF000000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77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112">
    <xf numFmtId="0" fontId="0" fillId="0" borderId="0" xfId="0"/>
    <xf numFmtId="0" fontId="0" fillId="0" borderId="0" xfId="0" applyFill="1" applyBorder="1"/>
    <xf numFmtId="0" fontId="0" fillId="0" borderId="0" xfId="0" applyBorder="1"/>
    <xf numFmtId="0" fontId="0" fillId="4" borderId="21" xfId="0" applyFill="1" applyBorder="1"/>
    <xf numFmtId="2" fontId="0" fillId="4" borderId="22" xfId="0" applyNumberFormat="1" applyFill="1" applyBorder="1"/>
    <xf numFmtId="0" fontId="0" fillId="5" borderId="20" xfId="0" applyFill="1" applyBorder="1"/>
    <xf numFmtId="0" fontId="0" fillId="5" borderId="21" xfId="0" applyFill="1" applyBorder="1"/>
    <xf numFmtId="0" fontId="0" fillId="5" borderId="5" xfId="0" applyFill="1" applyBorder="1"/>
    <xf numFmtId="0" fontId="0" fillId="5" borderId="23" xfId="0" applyFill="1" applyBorder="1"/>
    <xf numFmtId="2" fontId="0" fillId="0" borderId="0" xfId="0" applyNumberFormat="1"/>
    <xf numFmtId="2" fontId="0" fillId="0" borderId="0" xfId="0" applyNumberFormat="1" applyFill="1" applyBorder="1"/>
    <xf numFmtId="0" fontId="0" fillId="5" borderId="26" xfId="0" applyFill="1" applyBorder="1"/>
    <xf numFmtId="0" fontId="0" fillId="5" borderId="18" xfId="0" applyFill="1" applyBorder="1"/>
    <xf numFmtId="0" fontId="0" fillId="5" borderId="27" xfId="0" applyFill="1" applyBorder="1"/>
    <xf numFmtId="0" fontId="0" fillId="5" borderId="17" xfId="0" applyFill="1" applyBorder="1"/>
    <xf numFmtId="0" fontId="0" fillId="5" borderId="19" xfId="0" applyFill="1" applyBorder="1"/>
    <xf numFmtId="0" fontId="5" fillId="0" borderId="0" xfId="0" applyFont="1"/>
    <xf numFmtId="0" fontId="7" fillId="3" borderId="4" xfId="0" applyFont="1" applyFill="1" applyBorder="1"/>
    <xf numFmtId="0" fontId="7" fillId="6" borderId="4" xfId="0" applyFont="1" applyFill="1" applyBorder="1"/>
    <xf numFmtId="0" fontId="1" fillId="3" borderId="15" xfId="0" applyFont="1" applyFill="1" applyBorder="1"/>
    <xf numFmtId="0" fontId="0" fillId="5" borderId="14" xfId="0" applyFill="1" applyBorder="1"/>
    <xf numFmtId="0" fontId="0" fillId="5" borderId="24" xfId="0" applyFill="1" applyBorder="1"/>
    <xf numFmtId="0" fontId="0" fillId="4" borderId="18" xfId="0" applyFill="1" applyBorder="1"/>
    <xf numFmtId="0" fontId="0" fillId="4" borderId="27" xfId="0" applyFill="1" applyBorder="1"/>
    <xf numFmtId="0" fontId="0" fillId="4" borderId="17" xfId="0" applyFill="1" applyBorder="1"/>
    <xf numFmtId="0" fontId="0" fillId="4" borderId="19" xfId="0" applyFill="1" applyBorder="1"/>
    <xf numFmtId="2" fontId="0" fillId="4" borderId="25" xfId="0" applyNumberFormat="1" applyFill="1" applyBorder="1"/>
    <xf numFmtId="0" fontId="9" fillId="0" borderId="5" xfId="0" applyFont="1" applyBorder="1"/>
    <xf numFmtId="0" fontId="9" fillId="0" borderId="3" xfId="0" applyFont="1" applyBorder="1"/>
    <xf numFmtId="0" fontId="7" fillId="3" borderId="3" xfId="0" applyFont="1" applyFill="1" applyBorder="1"/>
    <xf numFmtId="0" fontId="1" fillId="3" borderId="14" xfId="0" applyFont="1" applyFill="1" applyBorder="1"/>
    <xf numFmtId="2" fontId="8" fillId="4" borderId="20" xfId="0" applyNumberFormat="1" applyFont="1" applyFill="1" applyBorder="1"/>
    <xf numFmtId="2" fontId="8" fillId="4" borderId="31" xfId="0" applyNumberFormat="1" applyFont="1" applyFill="1" applyBorder="1"/>
    <xf numFmtId="2" fontId="8" fillId="0" borderId="0" xfId="0" applyNumberFormat="1" applyFont="1" applyBorder="1"/>
    <xf numFmtId="2" fontId="10" fillId="3" borderId="2" xfId="0" applyNumberFormat="1" applyFont="1" applyFill="1" applyBorder="1"/>
    <xf numFmtId="2" fontId="8" fillId="3" borderId="6" xfId="0" applyNumberFormat="1" applyFont="1" applyFill="1" applyBorder="1"/>
    <xf numFmtId="2" fontId="8" fillId="3" borderId="13" xfId="0" applyNumberFormat="1" applyFont="1" applyFill="1" applyBorder="1"/>
    <xf numFmtId="2" fontId="8" fillId="0" borderId="0" xfId="0" applyNumberFormat="1" applyFont="1"/>
    <xf numFmtId="0" fontId="8" fillId="0" borderId="0" xfId="0" applyFont="1"/>
    <xf numFmtId="0" fontId="8" fillId="2" borderId="3" xfId="0" applyFont="1" applyFill="1" applyBorder="1"/>
    <xf numFmtId="0" fontId="8" fillId="2" borderId="7" xfId="0" applyNumberFormat="1" applyFont="1" applyFill="1" applyBorder="1"/>
    <xf numFmtId="0" fontId="8" fillId="2" borderId="14" xfId="0" applyFont="1" applyFill="1" applyBorder="1"/>
    <xf numFmtId="0" fontId="8" fillId="2" borderId="7" xfId="0" applyFont="1" applyFill="1" applyBorder="1"/>
    <xf numFmtId="0" fontId="8" fillId="0" borderId="0" xfId="0" applyFont="1" applyBorder="1"/>
    <xf numFmtId="0" fontId="8" fillId="3" borderId="7" xfId="0" applyFont="1" applyFill="1" applyBorder="1"/>
    <xf numFmtId="0" fontId="8" fillId="0" borderId="10" xfId="0" applyFont="1" applyBorder="1"/>
    <xf numFmtId="0" fontId="8" fillId="0" borderId="11" xfId="0" applyFont="1" applyBorder="1"/>
    <xf numFmtId="0" fontId="8" fillId="2" borderId="2" xfId="0" applyFont="1" applyFill="1" applyBorder="1"/>
    <xf numFmtId="0" fontId="8" fillId="0" borderId="3" xfId="0" applyFont="1" applyBorder="1"/>
    <xf numFmtId="0" fontId="8" fillId="2" borderId="4" xfId="0" applyFont="1" applyFill="1" applyBorder="1"/>
    <xf numFmtId="0" fontId="8" fillId="0" borderId="28" xfId="0" applyFont="1" applyBorder="1"/>
    <xf numFmtId="2" fontId="8" fillId="0" borderId="28" xfId="0" applyNumberFormat="1" applyFont="1" applyBorder="1"/>
    <xf numFmtId="0" fontId="8" fillId="2" borderId="6" xfId="0" applyNumberFormat="1" applyFont="1" applyFill="1" applyBorder="1"/>
    <xf numFmtId="0" fontId="8" fillId="0" borderId="7" xfId="0" applyFont="1" applyBorder="1"/>
    <xf numFmtId="0" fontId="8" fillId="2" borderId="8" xfId="0" applyFont="1" applyFill="1" applyBorder="1"/>
    <xf numFmtId="0" fontId="8" fillId="0" borderId="9" xfId="0" applyFont="1" applyBorder="1"/>
    <xf numFmtId="0" fontId="9" fillId="0" borderId="0" xfId="0" applyFont="1" applyBorder="1"/>
    <xf numFmtId="0" fontId="8" fillId="3" borderId="8" xfId="0" applyFont="1" applyFill="1" applyBorder="1"/>
    <xf numFmtId="2" fontId="8" fillId="0" borderId="9" xfId="0" applyNumberFormat="1" applyFont="1" applyBorder="1"/>
    <xf numFmtId="0" fontId="8" fillId="2" borderId="13" xfId="0" applyFont="1" applyFill="1" applyBorder="1"/>
    <xf numFmtId="0" fontId="8" fillId="0" borderId="14" xfId="0" applyFont="1" applyBorder="1"/>
    <xf numFmtId="0" fontId="8" fillId="2" borderId="15" xfId="0" applyFont="1" applyFill="1" applyBorder="1"/>
    <xf numFmtId="0" fontId="8" fillId="0" borderId="16" xfId="0" applyFont="1" applyBorder="1"/>
    <xf numFmtId="0" fontId="9" fillId="0" borderId="19" xfId="0" applyFont="1" applyBorder="1"/>
    <xf numFmtId="0" fontId="8" fillId="3" borderId="15" xfId="0" applyFont="1" applyFill="1" applyBorder="1"/>
    <xf numFmtId="2" fontId="8" fillId="0" borderId="16" xfId="0" applyNumberFormat="1" applyFont="1" applyBorder="1"/>
    <xf numFmtId="0" fontId="8" fillId="0" borderId="29" xfId="0" applyFont="1" applyBorder="1"/>
    <xf numFmtId="0" fontId="8" fillId="0" borderId="30" xfId="0" applyFont="1" applyBorder="1"/>
    <xf numFmtId="0" fontId="8" fillId="2" borderId="6" xfId="0" applyFont="1" applyFill="1" applyBorder="1"/>
    <xf numFmtId="0" fontId="8" fillId="0" borderId="12" xfId="0" applyFont="1" applyBorder="1"/>
    <xf numFmtId="0" fontId="8" fillId="0" borderId="1" xfId="0" applyFont="1" applyBorder="1"/>
    <xf numFmtId="0" fontId="8" fillId="0" borderId="17" xfId="0" applyFont="1" applyBorder="1"/>
    <xf numFmtId="0" fontId="8" fillId="0" borderId="18" xfId="0" applyFont="1" applyBorder="1"/>
    <xf numFmtId="0" fontId="8" fillId="0" borderId="0" xfId="0" applyFont="1" applyFill="1" applyBorder="1"/>
    <xf numFmtId="0" fontId="10" fillId="3" borderId="4" xfId="0" applyFont="1" applyFill="1" applyBorder="1"/>
    <xf numFmtId="0" fontId="8" fillId="0" borderId="7" xfId="0" applyFont="1" applyFill="1" applyBorder="1"/>
    <xf numFmtId="0" fontId="8" fillId="0" borderId="14" xfId="0" applyFont="1" applyFill="1" applyBorder="1"/>
    <xf numFmtId="0" fontId="8" fillId="0" borderId="3" xfId="0" applyFont="1" applyFill="1" applyBorder="1"/>
    <xf numFmtId="0" fontId="8" fillId="3" borderId="0" xfId="0" applyFont="1" applyFill="1" applyBorder="1"/>
    <xf numFmtId="0" fontId="8" fillId="3" borderId="19" xfId="0" applyFont="1" applyFill="1" applyBorder="1"/>
    <xf numFmtId="0" fontId="8" fillId="5" borderId="32" xfId="0" applyFont="1" applyFill="1" applyBorder="1"/>
    <xf numFmtId="0" fontId="8" fillId="5" borderId="5" xfId="0" applyFont="1" applyFill="1" applyBorder="1"/>
    <xf numFmtId="0" fontId="8" fillId="5" borderId="23" xfId="0" applyFont="1" applyFill="1" applyBorder="1"/>
    <xf numFmtId="0" fontId="8" fillId="3" borderId="4" xfId="0" applyFont="1" applyFill="1" applyBorder="1"/>
    <xf numFmtId="0" fontId="8" fillId="5" borderId="10" xfId="0" applyFont="1" applyFill="1" applyBorder="1"/>
    <xf numFmtId="0" fontId="8" fillId="5" borderId="0" xfId="0" applyFont="1" applyFill="1" applyBorder="1"/>
    <xf numFmtId="0" fontId="8" fillId="5" borderId="11" xfId="0" applyFont="1" applyFill="1" applyBorder="1"/>
    <xf numFmtId="0" fontId="8" fillId="0" borderId="12" xfId="0" applyFont="1" applyFill="1" applyBorder="1"/>
    <xf numFmtId="0" fontId="8" fillId="0" borderId="1" xfId="0" applyFont="1" applyFill="1" applyBorder="1"/>
    <xf numFmtId="0" fontId="8" fillId="5" borderId="26" xfId="0" applyFont="1" applyFill="1" applyBorder="1"/>
    <xf numFmtId="0" fontId="8" fillId="5" borderId="19" xfId="0" applyFont="1" applyFill="1" applyBorder="1"/>
    <xf numFmtId="0" fontId="8" fillId="5" borderId="25" xfId="0" applyFont="1" applyFill="1" applyBorder="1"/>
    <xf numFmtId="0" fontId="8" fillId="0" borderId="17" xfId="0" applyFont="1" applyFill="1" applyBorder="1"/>
    <xf numFmtId="0" fontId="8" fillId="0" borderId="18" xfId="0" applyFont="1" applyFill="1" applyBorder="1"/>
    <xf numFmtId="0" fontId="8" fillId="2" borderId="33" xfId="0" applyFont="1" applyFill="1" applyBorder="1"/>
    <xf numFmtId="0" fontId="8" fillId="2" borderId="34" xfId="0" applyFont="1" applyFill="1" applyBorder="1"/>
    <xf numFmtId="0" fontId="9" fillId="0" borderId="7" xfId="0" applyFont="1" applyBorder="1"/>
    <xf numFmtId="0" fontId="8" fillId="2" borderId="35" xfId="0" applyFont="1" applyFill="1" applyBorder="1"/>
    <xf numFmtId="0" fontId="9" fillId="0" borderId="14" xfId="0" applyFont="1" applyBorder="1"/>
    <xf numFmtId="0" fontId="9" fillId="0" borderId="3" xfId="0" applyFont="1" applyFill="1" applyBorder="1"/>
    <xf numFmtId="0" fontId="11" fillId="0" borderId="0" xfId="0" applyFont="1" applyBorder="1"/>
    <xf numFmtId="2" fontId="10" fillId="3" borderId="33" xfId="0" applyNumberFormat="1" applyFont="1" applyFill="1" applyBorder="1"/>
    <xf numFmtId="2" fontId="10" fillId="3" borderId="3" xfId="0" applyNumberFormat="1" applyFont="1" applyFill="1" applyBorder="1"/>
    <xf numFmtId="2" fontId="8" fillId="3" borderId="34" xfId="0" applyNumberFormat="1" applyFont="1" applyFill="1" applyBorder="1"/>
    <xf numFmtId="2" fontId="8" fillId="3" borderId="7" xfId="0" applyNumberFormat="1" applyFont="1" applyFill="1" applyBorder="1"/>
    <xf numFmtId="2" fontId="8" fillId="3" borderId="35" xfId="0" applyNumberFormat="1" applyFont="1" applyFill="1" applyBorder="1"/>
    <xf numFmtId="2" fontId="8" fillId="3" borderId="14" xfId="0" applyNumberFormat="1" applyFont="1" applyFill="1" applyBorder="1"/>
    <xf numFmtId="0" fontId="8" fillId="3" borderId="14" xfId="0" applyFont="1" applyFill="1" applyBorder="1"/>
    <xf numFmtId="0" fontId="8" fillId="4" borderId="21" xfId="0" applyFont="1" applyFill="1" applyBorder="1"/>
    <xf numFmtId="0" fontId="8" fillId="4" borderId="18" xfId="0" applyFont="1" applyFill="1" applyBorder="1"/>
    <xf numFmtId="0" fontId="12" fillId="0" borderId="0" xfId="0" applyFont="1"/>
    <xf numFmtId="2" fontId="12" fillId="0" borderId="0" xfId="0" applyNumberFormat="1" applyFont="1"/>
  </cellXfs>
  <cellStyles count="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3"/>
  <sheetViews>
    <sheetView tabSelected="1" view="pageLayout" topLeftCell="A19" zoomScale="150" zoomScalePageLayoutView="150" workbookViewId="0">
      <selection activeCell="A64" sqref="A64"/>
    </sheetView>
  </sheetViews>
  <sheetFormatPr baseColWidth="10" defaultRowHeight="16" x14ac:dyDescent="0.2"/>
  <cols>
    <col min="1" max="1" width="6" customWidth="1"/>
    <col min="2" max="13" width="3" customWidth="1"/>
    <col min="14" max="14" width="4.1640625" style="37" customWidth="1"/>
    <col min="15" max="15" width="4" customWidth="1"/>
    <col min="16" max="18" width="3" customWidth="1"/>
    <col min="19" max="19" width="4" customWidth="1"/>
    <col min="20" max="22" width="3" customWidth="1"/>
    <col min="23" max="23" width="6" customWidth="1"/>
    <col min="24" max="24" width="3.6640625" style="38" customWidth="1"/>
    <col min="25" max="27" width="3" customWidth="1"/>
    <col min="28" max="28" width="7.5" customWidth="1"/>
    <col min="29" max="29" width="6" customWidth="1"/>
    <col min="31" max="33" width="6" customWidth="1"/>
    <col min="35" max="44" width="6" customWidth="1"/>
    <col min="45" max="45" width="6.33203125" customWidth="1"/>
  </cols>
  <sheetData>
    <row r="1" spans="1:45" ht="22" thickBot="1" x14ac:dyDescent="0.3">
      <c r="N1" s="111" t="s">
        <v>69</v>
      </c>
      <c r="AC1" s="10"/>
      <c r="AD1" t="s">
        <v>22</v>
      </c>
      <c r="AM1" t="s">
        <v>15</v>
      </c>
      <c r="AN1" t="s">
        <v>17</v>
      </c>
      <c r="AO1" t="s">
        <v>16</v>
      </c>
      <c r="AP1" t="s">
        <v>18</v>
      </c>
      <c r="AQ1" t="s">
        <v>19</v>
      </c>
      <c r="AR1" t="s">
        <v>20</v>
      </c>
    </row>
    <row r="2" spans="1:45" ht="17" thickTop="1" x14ac:dyDescent="0.2">
      <c r="A2" s="5" t="s">
        <v>0</v>
      </c>
      <c r="B2" s="6"/>
      <c r="C2" s="6"/>
      <c r="D2" s="6"/>
      <c r="E2" s="6"/>
      <c r="F2" s="6"/>
      <c r="G2" s="7"/>
      <c r="H2" s="7"/>
      <c r="I2" s="7"/>
      <c r="J2" s="7"/>
      <c r="K2" s="7"/>
      <c r="L2" s="7"/>
      <c r="M2" s="8"/>
      <c r="N2" s="31"/>
      <c r="O2" s="3"/>
      <c r="P2" s="3"/>
      <c r="Q2" s="3" t="s">
        <v>1</v>
      </c>
      <c r="R2" s="3"/>
      <c r="S2" s="3"/>
      <c r="T2" s="3"/>
      <c r="U2" s="3"/>
      <c r="V2" s="3"/>
      <c r="W2" s="3"/>
      <c r="X2" s="108"/>
      <c r="Y2" s="3"/>
      <c r="Z2" s="3"/>
      <c r="AA2" s="3"/>
      <c r="AB2" s="4"/>
      <c r="AC2" s="10"/>
      <c r="AE2" t="s">
        <v>8</v>
      </c>
      <c r="AM2">
        <v>4.99</v>
      </c>
      <c r="AN2">
        <f>4.99*4.99</f>
        <v>24.900100000000002</v>
      </c>
      <c r="AO2">
        <v>17.061</v>
      </c>
      <c r="AP2">
        <f>AO2*AO2</f>
        <v>291.077721</v>
      </c>
      <c r="AQ2">
        <f>COS(AR2)</f>
        <v>-0.49999999999999978</v>
      </c>
      <c r="AR2">
        <f>PI()*2/3</f>
        <v>2.0943951023931953</v>
      </c>
    </row>
    <row r="3" spans="1:45" s="38" customFormat="1" ht="17" thickBot="1" x14ac:dyDescent="0.25">
      <c r="A3" s="11"/>
      <c r="B3" s="12" t="s">
        <v>2</v>
      </c>
      <c r="C3" s="13"/>
      <c r="D3" s="13"/>
      <c r="E3" s="14"/>
      <c r="F3" s="15"/>
      <c r="G3" s="12" t="s">
        <v>3</v>
      </c>
      <c r="H3" s="13"/>
      <c r="I3" s="13"/>
      <c r="J3" s="20"/>
      <c r="K3" s="13" t="s">
        <v>6</v>
      </c>
      <c r="L3" s="13"/>
      <c r="M3" s="21"/>
      <c r="N3" s="32"/>
      <c r="O3" s="22" t="s">
        <v>4</v>
      </c>
      <c r="P3" s="23"/>
      <c r="Q3" s="23"/>
      <c r="R3" s="24"/>
      <c r="S3" s="25"/>
      <c r="T3" s="22" t="s">
        <v>5</v>
      </c>
      <c r="U3" s="23"/>
      <c r="V3" s="24"/>
      <c r="W3" s="25"/>
      <c r="X3" s="109"/>
      <c r="Y3" s="23"/>
      <c r="Z3" s="24"/>
      <c r="AA3" s="25" t="s">
        <v>7</v>
      </c>
      <c r="AB3" s="26"/>
      <c r="AC3" s="33"/>
      <c r="AD3" s="38">
        <f t="array" ref="AD3">SQRT(MMULT(AE3:AG3,MMULT(AQ10:AS12,TRANSPOSE(AE3:AG3))))</f>
        <v>12.850778277339213</v>
      </c>
      <c r="AE3" s="37">
        <f>(2*X5-Y5-Z5)/3</f>
        <v>2.6666666666666665</v>
      </c>
      <c r="AF3" s="37">
        <f>(X5+Y5-2*Z5)/3</f>
        <v>1.3333333333333333</v>
      </c>
      <c r="AG3" s="37">
        <f>(X5+Y5+Z5)/3</f>
        <v>0.33333333333333331</v>
      </c>
      <c r="AI3" s="38" t="s">
        <v>9</v>
      </c>
      <c r="AM3" s="38">
        <v>6.375</v>
      </c>
      <c r="AN3" s="38">
        <f>AM3*AM3</f>
        <v>40.640625</v>
      </c>
      <c r="AQ3" s="38">
        <f>COS(AR3)</f>
        <v>0.69403036363456172</v>
      </c>
      <c r="AR3" s="38">
        <f>PI()*46.05/180</f>
        <v>0.80372412054338871</v>
      </c>
    </row>
    <row r="4" spans="1:45" s="38" customFormat="1" thickTop="1" thickBot="1" x14ac:dyDescent="0.25">
      <c r="A4" s="45" t="s">
        <v>33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33" t="s">
        <v>23</v>
      </c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6"/>
      <c r="AC4" s="33"/>
      <c r="AD4" s="38">
        <f t="array" ref="AD4">(1/3)*SQRT(MMULT(T6:V6,MMULT(AQ10:AS12,TRANSPOSE(T6:V6))))</f>
        <v>12.850778277339211</v>
      </c>
      <c r="AE4" s="37">
        <f>(2*X6-Y6-Z6)/3</f>
        <v>-1.3333333333333333</v>
      </c>
      <c r="AF4" s="37">
        <f>(X6+Y6-2*Z6)/3</f>
        <v>1.3333333333333333</v>
      </c>
      <c r="AG4" s="37">
        <f>(X6+Y6+Z6)/3</f>
        <v>0.33333333333333331</v>
      </c>
      <c r="AM4" s="38" t="s">
        <v>10</v>
      </c>
      <c r="AQ4" s="38" t="s">
        <v>13</v>
      </c>
    </row>
    <row r="5" spans="1:45" s="38" customFormat="1" ht="15" thickTop="1" x14ac:dyDescent="0.2">
      <c r="A5" s="47"/>
      <c r="B5" s="48">
        <v>-1</v>
      </c>
      <c r="C5" s="48">
        <v>0</v>
      </c>
      <c r="D5" s="48">
        <v>1</v>
      </c>
      <c r="E5" s="48">
        <v>8</v>
      </c>
      <c r="F5" s="49"/>
      <c r="G5" s="48">
        <f t="shared" ref="G5:H7" si="0">B5</f>
        <v>-1</v>
      </c>
      <c r="H5" s="48">
        <f t="shared" si="0"/>
        <v>0</v>
      </c>
      <c r="I5" s="50">
        <f>E5</f>
        <v>8</v>
      </c>
      <c r="J5" s="49"/>
      <c r="K5" s="27">
        <f t="array" ref="K5:M5">TRANSPOSE(MMULT(AI10:AK12,TRANSPOSE(G5:I5)))</f>
        <v>2</v>
      </c>
      <c r="L5" s="27">
        <v>2.9999999999999969</v>
      </c>
      <c r="M5" s="27">
        <v>2.9999999999999996</v>
      </c>
      <c r="N5" s="34" t="s">
        <v>27</v>
      </c>
      <c r="O5" s="48">
        <v>4</v>
      </c>
      <c r="P5" s="48">
        <v>0</v>
      </c>
      <c r="Q5" s="48">
        <v>-4</v>
      </c>
      <c r="R5" s="48">
        <v>1</v>
      </c>
      <c r="S5" s="17" t="s">
        <v>27</v>
      </c>
      <c r="T5" s="48">
        <f>O5-Q5</f>
        <v>8</v>
      </c>
      <c r="U5" s="48">
        <f>P5-Q5</f>
        <v>4</v>
      </c>
      <c r="V5" s="48">
        <f>R5</f>
        <v>1</v>
      </c>
      <c r="W5" s="17" t="s">
        <v>27</v>
      </c>
      <c r="X5" s="48">
        <v>3</v>
      </c>
      <c r="Y5" s="48">
        <f>(-T5+U5+V5)/3</f>
        <v>-1</v>
      </c>
      <c r="Z5" s="48">
        <f>(-U5+V5)/3</f>
        <v>-1</v>
      </c>
      <c r="AA5" s="48">
        <v>12.8</v>
      </c>
      <c r="AB5" s="51">
        <f t="array" ref="AB5">SQRT(MMULT(X5:Z5,MMULT(AQ5:AS7,TRANSPOSE(X5:Z5))))</f>
        <v>12.844788730420651</v>
      </c>
      <c r="AC5" s="33"/>
      <c r="AE5" s="37">
        <f>(2*X7-Y7-Z7)/3</f>
        <v>-1.3333333333333333</v>
      </c>
      <c r="AF5" s="37">
        <f>(X7+Y7-2*Z7)/3</f>
        <v>-2.6666666666666665</v>
      </c>
      <c r="AG5" s="37">
        <f>(X7+Y7+Z7)/3</f>
        <v>0.33333333333333331</v>
      </c>
      <c r="AI5" s="38">
        <v>1</v>
      </c>
      <c r="AJ5" s="38">
        <v>-1</v>
      </c>
      <c r="AK5" s="38">
        <v>0</v>
      </c>
      <c r="AM5" s="37">
        <v>0.66666666666666663</v>
      </c>
      <c r="AN5" s="37">
        <f>-1/3</f>
        <v>-0.33333333333333331</v>
      </c>
      <c r="AO5" s="37">
        <f>-1/3</f>
        <v>-0.33333333333333331</v>
      </c>
      <c r="AQ5" s="38">
        <f>AN3</f>
        <v>40.640625</v>
      </c>
      <c r="AR5" s="38">
        <f>AN3*AQ3</f>
        <v>28.205827747085859</v>
      </c>
      <c r="AS5" s="38">
        <f>AR5</f>
        <v>28.205827747085859</v>
      </c>
    </row>
    <row r="6" spans="1:45" s="38" customFormat="1" ht="14" x14ac:dyDescent="0.2">
      <c r="A6" s="52"/>
      <c r="B6" s="53">
        <v>1</v>
      </c>
      <c r="C6" s="53">
        <v>-1</v>
      </c>
      <c r="D6" s="53">
        <v>0</v>
      </c>
      <c r="E6" s="53">
        <v>8</v>
      </c>
      <c r="F6" s="54"/>
      <c r="G6" s="53">
        <f t="shared" si="0"/>
        <v>1</v>
      </c>
      <c r="H6" s="53">
        <f t="shared" si="0"/>
        <v>-1</v>
      </c>
      <c r="I6" s="55">
        <f>E6</f>
        <v>8</v>
      </c>
      <c r="J6" s="54"/>
      <c r="K6" s="56">
        <f t="array" ref="K6:M6">TRANSPOSE(MMULT($AI$10:$AK$12,TRANSPOSE(G6:I6)))</f>
        <v>3</v>
      </c>
      <c r="L6" s="56">
        <v>1.9999999999999978</v>
      </c>
      <c r="M6" s="56">
        <v>3</v>
      </c>
      <c r="N6" s="35">
        <v>0.33</v>
      </c>
      <c r="O6" s="53">
        <v>-4</v>
      </c>
      <c r="P6" s="53">
        <v>4</v>
      </c>
      <c r="Q6" s="53">
        <v>0</v>
      </c>
      <c r="R6" s="53">
        <v>1</v>
      </c>
      <c r="S6" s="57">
        <v>0.33</v>
      </c>
      <c r="T6" s="53">
        <f>O6-Q6</f>
        <v>-4</v>
      </c>
      <c r="U6" s="53">
        <f>P6-Q6</f>
        <v>4</v>
      </c>
      <c r="V6" s="53">
        <f>R6</f>
        <v>1</v>
      </c>
      <c r="W6" s="57"/>
      <c r="X6" s="53">
        <v>-1</v>
      </c>
      <c r="Y6" s="53">
        <f>(-T6+U6+V6)/3</f>
        <v>3</v>
      </c>
      <c r="Z6" s="53">
        <f>(-U6+V6)/3</f>
        <v>-1</v>
      </c>
      <c r="AA6" s="53"/>
      <c r="AB6" s="58">
        <f t="array" ref="AB6">SQRT(MMULT(X6:Z6,MMULT(AQ5:AS7,TRANSPOSE(X6:Z6))))</f>
        <v>12.844788730420651</v>
      </c>
      <c r="AC6" s="33"/>
      <c r="AE6" s="37"/>
      <c r="AF6" s="37"/>
      <c r="AG6" s="37"/>
      <c r="AI6" s="38">
        <v>0</v>
      </c>
      <c r="AJ6" s="38">
        <v>1</v>
      </c>
      <c r="AK6" s="38">
        <v>-1</v>
      </c>
      <c r="AM6" s="37">
        <v>0.33333333333333331</v>
      </c>
      <c r="AN6" s="37">
        <v>0.33333333333333298</v>
      </c>
      <c r="AO6" s="37">
        <v>-0.66666666666666696</v>
      </c>
      <c r="AQ6" s="38">
        <f>AR5</f>
        <v>28.205827747085859</v>
      </c>
      <c r="AR6" s="38">
        <f>AQ5</f>
        <v>40.640625</v>
      </c>
      <c r="AS6" s="38">
        <f>AR5</f>
        <v>28.205827747085859</v>
      </c>
    </row>
    <row r="7" spans="1:45" s="38" customFormat="1" ht="15" thickBot="1" x14ac:dyDescent="0.25">
      <c r="A7" s="59"/>
      <c r="B7" s="60">
        <v>0</v>
      </c>
      <c r="C7" s="60">
        <v>1</v>
      </c>
      <c r="D7" s="60">
        <v>-1</v>
      </c>
      <c r="E7" s="60">
        <v>8</v>
      </c>
      <c r="F7" s="61"/>
      <c r="G7" s="60">
        <f t="shared" si="0"/>
        <v>0</v>
      </c>
      <c r="H7" s="60">
        <f t="shared" si="0"/>
        <v>1</v>
      </c>
      <c r="I7" s="62">
        <f>E7</f>
        <v>8</v>
      </c>
      <c r="J7" s="61"/>
      <c r="K7" s="63">
        <f t="array" ref="K7:M7">TRANSPOSE(MMULT($AI$10:$AK$12,TRANSPOSE(G7:I7)))</f>
        <v>3</v>
      </c>
      <c r="L7" s="63">
        <v>2.9999999999999969</v>
      </c>
      <c r="M7" s="63">
        <v>2</v>
      </c>
      <c r="N7" s="36"/>
      <c r="O7" s="60">
        <v>0</v>
      </c>
      <c r="P7" s="60">
        <v>-4</v>
      </c>
      <c r="Q7" s="60">
        <v>4</v>
      </c>
      <c r="R7" s="60">
        <v>1</v>
      </c>
      <c r="S7" s="19"/>
      <c r="T7" s="60">
        <f>O7-Q7</f>
        <v>-4</v>
      </c>
      <c r="U7" s="60">
        <f>P7-Q7</f>
        <v>-8</v>
      </c>
      <c r="V7" s="60">
        <f>R7</f>
        <v>1</v>
      </c>
      <c r="W7" s="64"/>
      <c r="X7" s="60">
        <v>-1</v>
      </c>
      <c r="Y7" s="60">
        <f>(-T7+U7+V7)/3</f>
        <v>-1</v>
      </c>
      <c r="Z7" s="60">
        <f>(-U7+V7)/3</f>
        <v>3</v>
      </c>
      <c r="AA7" s="60"/>
      <c r="AB7" s="65">
        <f t="array" ref="AB7">SQRT(MMULT(X7:Z7,MMULT(AQ5:AS7,TRANSPOSE(X7:Z7))))</f>
        <v>12.844788730420653</v>
      </c>
      <c r="AC7" s="33"/>
      <c r="AE7" s="37">
        <f>(2*X13-Y13-Z13)/3</f>
        <v>1.3333333333333333</v>
      </c>
      <c r="AF7" s="37">
        <f>(X13+Y13-2*Z13)/3</f>
        <v>0.66666666666666663</v>
      </c>
      <c r="AG7" s="37">
        <f>(X13+Y13+Z13)/3</f>
        <v>-0.33333333333333331</v>
      </c>
      <c r="AI7" s="38">
        <v>1</v>
      </c>
      <c r="AJ7" s="38">
        <v>1</v>
      </c>
      <c r="AK7" s="38">
        <v>1</v>
      </c>
      <c r="AM7" s="37">
        <v>0.33333333333333331</v>
      </c>
      <c r="AN7" s="37">
        <v>0.33333333333333331</v>
      </c>
      <c r="AO7" s="37">
        <v>0.33333333333333331</v>
      </c>
      <c r="AQ7" s="38">
        <f>AQ6</f>
        <v>28.205827747085859</v>
      </c>
      <c r="AR7" s="38">
        <f>AR5</f>
        <v>28.205827747085859</v>
      </c>
      <c r="AS7" s="38">
        <f>AQ5</f>
        <v>40.640625</v>
      </c>
    </row>
    <row r="8" spans="1:45" s="38" customFormat="1" thickTop="1" thickBot="1" x14ac:dyDescent="0.25">
      <c r="A8" s="45" t="s">
        <v>32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33" t="s">
        <v>40</v>
      </c>
      <c r="O8" s="43"/>
      <c r="P8" s="43"/>
      <c r="Q8" s="43"/>
      <c r="R8" s="43" t="s">
        <v>25</v>
      </c>
      <c r="S8" s="43"/>
      <c r="T8" s="43"/>
      <c r="U8" s="43"/>
      <c r="V8" s="43"/>
      <c r="W8" s="43"/>
      <c r="X8" s="43"/>
      <c r="Y8" s="43"/>
      <c r="Z8" s="43"/>
      <c r="AA8" s="43"/>
      <c r="AB8" s="46"/>
      <c r="AC8" s="33"/>
      <c r="AE8" s="37">
        <f>(2*X14-Y14-Z14)/3</f>
        <v>-0.66666666666666663</v>
      </c>
      <c r="AF8" s="37">
        <f>(X14+Y14-2*Z14)/3</f>
        <v>0.66666666666666663</v>
      </c>
      <c r="AG8" s="37">
        <f>(X14+Y14+Z14)/3</f>
        <v>-0.33333333333333331</v>
      </c>
      <c r="AM8" s="37"/>
      <c r="AN8" s="37"/>
      <c r="AO8" s="37"/>
    </row>
    <row r="9" spans="1:45" s="38" customFormat="1" ht="15" thickTop="1" x14ac:dyDescent="0.2">
      <c r="A9" s="47"/>
      <c r="B9" s="48">
        <v>1</v>
      </c>
      <c r="C9" s="48">
        <v>0</v>
      </c>
      <c r="D9" s="48">
        <v>-1</v>
      </c>
      <c r="E9" s="48">
        <v>4</v>
      </c>
      <c r="F9" s="49"/>
      <c r="G9" s="48">
        <f t="shared" ref="G9:H11" si="1">B9</f>
        <v>1</v>
      </c>
      <c r="H9" s="48">
        <f t="shared" si="1"/>
        <v>0</v>
      </c>
      <c r="I9" s="50">
        <f>E9</f>
        <v>4</v>
      </c>
      <c r="J9" s="49"/>
      <c r="K9" s="27">
        <f t="array" ref="K9:M9">TRANSPOSE(MMULT($AI$10:$AK$12,TRANSPOSE(G9:I9)))</f>
        <v>2</v>
      </c>
      <c r="L9" s="27">
        <v>0.99999999999999889</v>
      </c>
      <c r="M9" s="27">
        <v>1.0000000000000002</v>
      </c>
      <c r="N9" s="34" t="s">
        <v>26</v>
      </c>
      <c r="O9" s="48">
        <v>2</v>
      </c>
      <c r="P9" s="48">
        <v>0</v>
      </c>
      <c r="Q9" s="48">
        <v>-2</v>
      </c>
      <c r="R9" s="48">
        <v>-1</v>
      </c>
      <c r="S9" s="34" t="s">
        <v>26</v>
      </c>
      <c r="T9" s="66">
        <f>O9-Q9</f>
        <v>4</v>
      </c>
      <c r="U9" s="48">
        <f>P9-Q9</f>
        <v>2</v>
      </c>
      <c r="V9" s="67">
        <f>R9</f>
        <v>-1</v>
      </c>
      <c r="W9" s="17" t="s">
        <v>26</v>
      </c>
      <c r="X9" s="48">
        <v>1</v>
      </c>
      <c r="Y9" s="48">
        <f>(-T9+U9+V9)/3</f>
        <v>-1</v>
      </c>
      <c r="Z9" s="48">
        <f>(-U9+V9)/3</f>
        <v>-1</v>
      </c>
      <c r="AA9" s="48">
        <v>8.09</v>
      </c>
      <c r="AB9" s="51">
        <f t="array" ref="AB9">SQRT(MMULT(X9:Z9,MMULT($AQ$5:$AS$7,TRANSPOSE(X9:Z9))))</f>
        <v>8.093838366673026</v>
      </c>
      <c r="AC9" s="33"/>
      <c r="AE9" s="37">
        <f>(2*X15-Y15-Z15)/3</f>
        <v>-0.66666666666666663</v>
      </c>
      <c r="AF9" s="37">
        <f>(X15+Y15-2*Z15)/3</f>
        <v>-1.3333333333333333</v>
      </c>
      <c r="AG9" s="37">
        <f>(X15+Y15+Z15)/3</f>
        <v>-0.33333333333333331</v>
      </c>
      <c r="AI9" s="38" t="s">
        <v>11</v>
      </c>
      <c r="AM9" s="37" t="s">
        <v>12</v>
      </c>
      <c r="AN9" s="37"/>
      <c r="AO9" s="37"/>
      <c r="AQ9" s="38" t="s">
        <v>14</v>
      </c>
    </row>
    <row r="10" spans="1:45" s="38" customFormat="1" ht="14" x14ac:dyDescent="0.2">
      <c r="A10" s="68"/>
      <c r="B10" s="53">
        <v>-1</v>
      </c>
      <c r="C10" s="53">
        <v>1</v>
      </c>
      <c r="D10" s="53">
        <v>0</v>
      </c>
      <c r="E10" s="53">
        <v>4</v>
      </c>
      <c r="F10" s="54"/>
      <c r="G10" s="53">
        <f t="shared" si="1"/>
        <v>-1</v>
      </c>
      <c r="H10" s="53">
        <f t="shared" si="1"/>
        <v>1</v>
      </c>
      <c r="I10" s="55">
        <f>E10</f>
        <v>4</v>
      </c>
      <c r="J10" s="54"/>
      <c r="K10" s="56">
        <f t="array" ref="K10:M10">TRANSPOSE(MMULT($AI$10:$AK$12,TRANSPOSE(G10:I10)))</f>
        <v>1</v>
      </c>
      <c r="L10" s="56">
        <v>1.9999999999999978</v>
      </c>
      <c r="M10" s="56">
        <v>0.99999999999999956</v>
      </c>
      <c r="N10" s="35">
        <v>0.33</v>
      </c>
      <c r="O10" s="53">
        <f>Q9</f>
        <v>-2</v>
      </c>
      <c r="P10" s="53">
        <f>O9</f>
        <v>2</v>
      </c>
      <c r="Q10" s="53">
        <f>P9</f>
        <v>0</v>
      </c>
      <c r="R10" s="53">
        <v>-1</v>
      </c>
      <c r="S10" s="57">
        <v>0.33</v>
      </c>
      <c r="T10" s="69">
        <f>O10-Q10</f>
        <v>-2</v>
      </c>
      <c r="U10" s="53">
        <f>P10-Q10</f>
        <v>2</v>
      </c>
      <c r="V10" s="70">
        <f>R10</f>
        <v>-1</v>
      </c>
      <c r="W10" s="57"/>
      <c r="X10" s="53">
        <v>-1</v>
      </c>
      <c r="Y10" s="53">
        <f>(-T10+U10+V10)/3</f>
        <v>1</v>
      </c>
      <c r="Z10" s="53">
        <f>(-U10+V10)/3</f>
        <v>-1</v>
      </c>
      <c r="AA10" s="53"/>
      <c r="AB10" s="58">
        <f t="array" ref="AB10">SQRT(MMULT(X10:Z10,MMULT($AQ$5:$AS$7,TRANSPOSE(X10:Z10))))</f>
        <v>8.093838366673026</v>
      </c>
      <c r="AC10" s="33"/>
      <c r="AE10" s="37"/>
      <c r="AF10" s="37"/>
      <c r="AG10" s="37"/>
      <c r="AI10" s="37">
        <v>0.66666666666666663</v>
      </c>
      <c r="AJ10" s="37">
        <f>1/3</f>
        <v>0.33333333333333331</v>
      </c>
      <c r="AK10" s="37">
        <f>1/3</f>
        <v>0.33333333333333331</v>
      </c>
      <c r="AM10" s="37">
        <v>1</v>
      </c>
      <c r="AN10" s="37">
        <v>0</v>
      </c>
      <c r="AO10" s="37">
        <v>1</v>
      </c>
      <c r="AQ10" s="37">
        <f>AM2*AM2</f>
        <v>24.900100000000002</v>
      </c>
      <c r="AR10" s="37">
        <f>AN2*AQ2</f>
        <v>-12.450049999999996</v>
      </c>
      <c r="AS10" s="37">
        <v>0</v>
      </c>
    </row>
    <row r="11" spans="1:45" s="38" customFormat="1" ht="15" thickBot="1" x14ac:dyDescent="0.25">
      <c r="A11" s="59"/>
      <c r="B11" s="60">
        <v>0</v>
      </c>
      <c r="C11" s="60">
        <v>-1</v>
      </c>
      <c r="D11" s="60">
        <v>1</v>
      </c>
      <c r="E11" s="60">
        <v>4</v>
      </c>
      <c r="F11" s="61"/>
      <c r="G11" s="60">
        <f t="shared" si="1"/>
        <v>0</v>
      </c>
      <c r="H11" s="60">
        <f t="shared" si="1"/>
        <v>-1</v>
      </c>
      <c r="I11" s="62">
        <f>E11</f>
        <v>4</v>
      </c>
      <c r="J11" s="61"/>
      <c r="K11" s="63">
        <f t="array" ref="K11:M11">TRANSPOSE(MMULT($AI$10:$AK$12,TRANSPOSE(G11:I11)))</f>
        <v>1</v>
      </c>
      <c r="L11" s="63">
        <v>0.99999999999999889</v>
      </c>
      <c r="M11" s="63">
        <v>2</v>
      </c>
      <c r="N11" s="36"/>
      <c r="O11" s="60">
        <f>P9</f>
        <v>0</v>
      </c>
      <c r="P11" s="60">
        <f>Q9</f>
        <v>-2</v>
      </c>
      <c r="Q11" s="60">
        <f>O9</f>
        <v>2</v>
      </c>
      <c r="R11" s="60">
        <v>-1</v>
      </c>
      <c r="S11" s="64"/>
      <c r="T11" s="71">
        <f>O11-Q11</f>
        <v>-2</v>
      </c>
      <c r="U11" s="60">
        <f>P11-Q11</f>
        <v>-4</v>
      </c>
      <c r="V11" s="72">
        <f>R11</f>
        <v>-1</v>
      </c>
      <c r="W11" s="64"/>
      <c r="X11" s="60">
        <v>-1</v>
      </c>
      <c r="Y11" s="60">
        <f>(-T11+U11+V11)/3</f>
        <v>-1</v>
      </c>
      <c r="Z11" s="60">
        <f>(-U11+V11)/3</f>
        <v>1</v>
      </c>
      <c r="AA11" s="60"/>
      <c r="AB11" s="65">
        <f t="array" ref="AB11">SQRT(MMULT(X11:Z11,MMULT($AQ$5:$AS$7,TRANSPOSE(X11:Z11))))</f>
        <v>8.093838366673026</v>
      </c>
      <c r="AC11" s="33"/>
      <c r="AD11" s="38">
        <f t="array" ref="AD11">(1/3)*SQRT(MMULT(T21:V21,MMULT(AQ10:AS12,TRANSPOSE(T21:V21))))</f>
        <v>6.3751080252285393</v>
      </c>
      <c r="AE11" s="37">
        <f>(2*X21-Y21-Z21)/3</f>
        <v>0.66666666666666663</v>
      </c>
      <c r="AF11" s="37">
        <f>(X21+Y21-2*Z21)/3</f>
        <v>0.33333333333333331</v>
      </c>
      <c r="AG11" s="37">
        <f>(X21+Y21+Z21)/3</f>
        <v>0.33333333333333331</v>
      </c>
      <c r="AI11" s="37">
        <v>-0.33333333333333298</v>
      </c>
      <c r="AJ11" s="37">
        <v>0.33333333333333298</v>
      </c>
      <c r="AK11" s="37">
        <v>0.33333333333333298</v>
      </c>
      <c r="AM11" s="37">
        <v>-1</v>
      </c>
      <c r="AN11" s="37">
        <v>1</v>
      </c>
      <c r="AO11" s="37">
        <v>1</v>
      </c>
      <c r="AQ11" s="37">
        <f>AR10</f>
        <v>-12.450049999999996</v>
      </c>
      <c r="AR11" s="37">
        <f>AQ10</f>
        <v>24.900100000000002</v>
      </c>
      <c r="AS11" s="37">
        <v>0</v>
      </c>
    </row>
    <row r="12" spans="1:45" s="38" customFormat="1" thickTop="1" thickBot="1" x14ac:dyDescent="0.25">
      <c r="A12" s="45" t="s">
        <v>31</v>
      </c>
      <c r="B12" s="73"/>
      <c r="C12" s="73"/>
      <c r="D12" s="73"/>
      <c r="E12" s="73"/>
      <c r="F12" s="43"/>
      <c r="G12" s="43"/>
      <c r="H12" s="43"/>
      <c r="I12" s="43"/>
      <c r="J12" s="43"/>
      <c r="K12" s="43"/>
      <c r="L12" s="43"/>
      <c r="M12" s="43"/>
      <c r="N12" s="33" t="s">
        <v>24</v>
      </c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43"/>
      <c r="Z12" s="43"/>
      <c r="AA12" s="43"/>
      <c r="AB12" s="46"/>
      <c r="AC12" s="33"/>
      <c r="AE12" s="37">
        <f>(2*X22-Y22-Z22)/3</f>
        <v>-0.33333333333333331</v>
      </c>
      <c r="AF12" s="37">
        <f>(X22+Y22-2*Z22)/3</f>
        <v>0.33333333333333331</v>
      </c>
      <c r="AG12" s="37">
        <f>(X22+Y22+Z22)/3</f>
        <v>0.33333333333333331</v>
      </c>
      <c r="AI12" s="37">
        <v>-0.33333333333333298</v>
      </c>
      <c r="AJ12" s="37">
        <v>-0.66666666666666663</v>
      </c>
      <c r="AK12" s="37">
        <v>0.33333333333333331</v>
      </c>
      <c r="AM12" s="37">
        <v>0</v>
      </c>
      <c r="AN12" s="37">
        <v>-1</v>
      </c>
      <c r="AO12" s="37">
        <v>1</v>
      </c>
      <c r="AQ12" s="37">
        <v>0</v>
      </c>
      <c r="AR12" s="37">
        <v>0</v>
      </c>
      <c r="AS12" s="37">
        <f>AP2</f>
        <v>291.077721</v>
      </c>
    </row>
    <row r="13" spans="1:45" s="38" customFormat="1" ht="15" thickTop="1" x14ac:dyDescent="0.2">
      <c r="A13" s="47"/>
      <c r="B13" s="48">
        <v>-1</v>
      </c>
      <c r="C13" s="48">
        <v>0</v>
      </c>
      <c r="D13" s="48">
        <v>1</v>
      </c>
      <c r="E13" s="48">
        <v>2</v>
      </c>
      <c r="F13" s="49"/>
      <c r="G13" s="48">
        <f t="shared" ref="G13:H15" si="2">B13</f>
        <v>-1</v>
      </c>
      <c r="H13" s="48">
        <f t="shared" si="2"/>
        <v>0</v>
      </c>
      <c r="I13" s="50">
        <f>E13</f>
        <v>2</v>
      </c>
      <c r="J13" s="49"/>
      <c r="K13" s="27">
        <f t="array" ref="K13:M13">TRANSPOSE(MMULT($AI$10:$AK$12,TRANSPOSE(G13:I13)))</f>
        <v>0</v>
      </c>
      <c r="L13" s="27">
        <v>0.99999999999999889</v>
      </c>
      <c r="M13" s="27">
        <v>0.99999999999999956</v>
      </c>
      <c r="N13" s="18" t="s">
        <v>26</v>
      </c>
      <c r="O13" s="48">
        <v>2</v>
      </c>
      <c r="P13" s="48">
        <v>0</v>
      </c>
      <c r="Q13" s="48">
        <v>-2</v>
      </c>
      <c r="R13" s="48">
        <v>-1</v>
      </c>
      <c r="S13" s="74" t="s">
        <v>26</v>
      </c>
      <c r="T13" s="66">
        <f>O13-Q13</f>
        <v>4</v>
      </c>
      <c r="U13" s="48">
        <f>P13-Q13</f>
        <v>2</v>
      </c>
      <c r="V13" s="67">
        <f>R13</f>
        <v>-1</v>
      </c>
      <c r="W13" s="74" t="s">
        <v>26</v>
      </c>
      <c r="X13" s="48">
        <v>1</v>
      </c>
      <c r="Y13" s="48">
        <f>(-T13+U13+V13)/3</f>
        <v>-1</v>
      </c>
      <c r="Z13" s="48">
        <f>(-U13+V13)/3</f>
        <v>-1</v>
      </c>
      <c r="AA13" s="48">
        <v>8.09</v>
      </c>
      <c r="AB13" s="51">
        <f t="array" ref="AB13">SQRT(MMULT(X13:Z13,MMULT(AQ5:AS7,TRANSPOSE(X13:Z13))))</f>
        <v>8.093838366673026</v>
      </c>
      <c r="AC13" s="33"/>
      <c r="AE13" s="37">
        <f>(2*X23-Y23-Z23)/3</f>
        <v>-0.33333333333333331</v>
      </c>
      <c r="AF13" s="37">
        <f>(X23+Y23-2*Z23)/3</f>
        <v>-0.66666666666666663</v>
      </c>
      <c r="AG13" s="37">
        <f>(X23+Y23+Z23)/3</f>
        <v>0.33333333333333331</v>
      </c>
      <c r="AM13" s="37"/>
      <c r="AN13" s="37"/>
      <c r="AO13" s="37"/>
    </row>
    <row r="14" spans="1:45" s="38" customFormat="1" ht="14" x14ac:dyDescent="0.2">
      <c r="A14" s="68"/>
      <c r="B14" s="75">
        <v>1</v>
      </c>
      <c r="C14" s="75">
        <v>-1</v>
      </c>
      <c r="D14" s="75">
        <v>0</v>
      </c>
      <c r="E14" s="75">
        <v>2</v>
      </c>
      <c r="F14" s="54"/>
      <c r="G14" s="53">
        <f t="shared" si="2"/>
        <v>1</v>
      </c>
      <c r="H14" s="53">
        <f t="shared" si="2"/>
        <v>-1</v>
      </c>
      <c r="I14" s="55">
        <f>E14</f>
        <v>2</v>
      </c>
      <c r="J14" s="54"/>
      <c r="K14" s="56">
        <f t="array" ref="K14:M14">TRANSPOSE(MMULT($AI$10:$AK$12,TRANSPOSE(G14:I14)))</f>
        <v>1</v>
      </c>
      <c r="L14" s="56">
        <v>0</v>
      </c>
      <c r="M14" s="56">
        <v>1.0000000000000002</v>
      </c>
      <c r="N14" s="35">
        <v>0.33</v>
      </c>
      <c r="O14" s="53">
        <f>Q13</f>
        <v>-2</v>
      </c>
      <c r="P14" s="53">
        <f>O13</f>
        <v>2</v>
      </c>
      <c r="Q14" s="53">
        <f>P13</f>
        <v>0</v>
      </c>
      <c r="R14" s="53">
        <v>-1</v>
      </c>
      <c r="S14" s="57">
        <v>0.33</v>
      </c>
      <c r="T14" s="69">
        <f>O14-Q14</f>
        <v>-2</v>
      </c>
      <c r="U14" s="53">
        <f>P14-Q14</f>
        <v>2</v>
      </c>
      <c r="V14" s="70">
        <f>R14</f>
        <v>-1</v>
      </c>
      <c r="W14" s="57"/>
      <c r="X14" s="53">
        <v>-1</v>
      </c>
      <c r="Y14" s="53">
        <f>(-T14+U14+V14)/3</f>
        <v>1</v>
      </c>
      <c r="Z14" s="53">
        <f>(-U14+V14)/3</f>
        <v>-1</v>
      </c>
      <c r="AA14" s="53"/>
      <c r="AB14" s="58">
        <f t="array" ref="AB14">SQRT(MMULT(X14:Z14,MMULT(AQ5:AS7,TRANSPOSE(X14:Z14))))</f>
        <v>8.093838366673026</v>
      </c>
      <c r="AC14" s="43"/>
      <c r="AE14" s="37"/>
      <c r="AF14" s="37"/>
      <c r="AG14" s="37"/>
      <c r="AI14" s="38" t="s">
        <v>21</v>
      </c>
      <c r="AM14" s="37"/>
      <c r="AN14" s="37"/>
      <c r="AO14" s="37"/>
    </row>
    <row r="15" spans="1:45" s="38" customFormat="1" ht="15" thickBot="1" x14ac:dyDescent="0.25">
      <c r="A15" s="59"/>
      <c r="B15" s="76">
        <v>0</v>
      </c>
      <c r="C15" s="76">
        <v>1</v>
      </c>
      <c r="D15" s="76">
        <v>-1</v>
      </c>
      <c r="E15" s="76">
        <v>2</v>
      </c>
      <c r="F15" s="61"/>
      <c r="G15" s="60">
        <f t="shared" si="2"/>
        <v>0</v>
      </c>
      <c r="H15" s="60">
        <f t="shared" si="2"/>
        <v>1</v>
      </c>
      <c r="I15" s="62">
        <f>E15</f>
        <v>2</v>
      </c>
      <c r="J15" s="61"/>
      <c r="K15" s="63">
        <f t="array" ref="K15:M15">TRANSPOSE(MMULT($AI$10:$AK$12,TRANSPOSE(G15:I15)))</f>
        <v>1</v>
      </c>
      <c r="L15" s="63">
        <v>0.99999999999999889</v>
      </c>
      <c r="M15" s="63">
        <v>0</v>
      </c>
      <c r="N15" s="36"/>
      <c r="O15" s="60">
        <f>P13</f>
        <v>0</v>
      </c>
      <c r="P15" s="60">
        <f>Q13</f>
        <v>-2</v>
      </c>
      <c r="Q15" s="60">
        <f>O13</f>
        <v>2</v>
      </c>
      <c r="R15" s="60">
        <v>-1</v>
      </c>
      <c r="S15" s="64"/>
      <c r="T15" s="71">
        <f>O15-Q15</f>
        <v>-2</v>
      </c>
      <c r="U15" s="60">
        <f>P15-Q15</f>
        <v>-4</v>
      </c>
      <c r="V15" s="72">
        <f>R15</f>
        <v>-1</v>
      </c>
      <c r="W15" s="64"/>
      <c r="X15" s="60">
        <v>-1</v>
      </c>
      <c r="Y15" s="60">
        <f>(-T15+U15+V15)/3</f>
        <v>-1</v>
      </c>
      <c r="Z15" s="60">
        <f>(-U15+V15)/3</f>
        <v>1</v>
      </c>
      <c r="AA15" s="60"/>
      <c r="AB15" s="65">
        <f t="array" ref="AB15">SQRT(MMULT(X15:Z15,MMULT(AQ5:AS7,TRANSPOSE(X15:Z15))))</f>
        <v>8.093838366673026</v>
      </c>
      <c r="AC15" s="33"/>
      <c r="AE15" s="37">
        <f>(2*X17-Y17-Z17)/3</f>
        <v>1</v>
      </c>
      <c r="AF15" s="37">
        <f>(X17+Y17-2*Z17)/3</f>
        <v>0</v>
      </c>
      <c r="AG15" s="37">
        <f>(X17+Y17+Z17)/3</f>
        <v>0</v>
      </c>
      <c r="AM15" s="38">
        <f t="array" ref="AM15:AM17">MMULT(AI10:AK12,TRANSPOSE(G5:I5))</f>
        <v>2</v>
      </c>
    </row>
    <row r="16" spans="1:45" s="38" customFormat="1" thickTop="1" thickBot="1" x14ac:dyDescent="0.25">
      <c r="A16" s="45" t="s">
        <v>30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33" t="s">
        <v>37</v>
      </c>
      <c r="O16" s="43"/>
      <c r="P16" s="43"/>
      <c r="Q16" s="43"/>
      <c r="R16" s="43"/>
      <c r="S16" s="43"/>
      <c r="T16" s="43"/>
      <c r="U16" s="43"/>
      <c r="V16" s="43"/>
      <c r="W16" s="43"/>
      <c r="X16" s="43"/>
      <c r="Y16" s="43"/>
      <c r="Z16" s="43"/>
      <c r="AA16" s="43"/>
      <c r="AB16" s="46"/>
      <c r="AC16" s="33"/>
      <c r="AE16" s="37">
        <f>(2*X18-Y18-Z18)/3</f>
        <v>0</v>
      </c>
      <c r="AF16" s="37">
        <f>(X18+Y18-2*Z18)/3</f>
        <v>1</v>
      </c>
      <c r="AG16" s="37">
        <f>(X18+Y18+Z18)/3</f>
        <v>0</v>
      </c>
      <c r="AM16" s="38">
        <v>2.9999999999999969</v>
      </c>
    </row>
    <row r="17" spans="1:41" s="38" customFormat="1" ht="15" thickTop="1" x14ac:dyDescent="0.2">
      <c r="A17" s="47"/>
      <c r="B17" s="48">
        <v>0</v>
      </c>
      <c r="C17" s="48">
        <v>0</v>
      </c>
      <c r="D17" s="48">
        <v>0</v>
      </c>
      <c r="E17" s="48">
        <v>1</v>
      </c>
      <c r="F17" s="49"/>
      <c r="G17" s="48">
        <f t="shared" ref="G17:H19" si="3">B17</f>
        <v>0</v>
      </c>
      <c r="H17" s="48">
        <f t="shared" si="3"/>
        <v>0</v>
      </c>
      <c r="I17" s="50">
        <v>3</v>
      </c>
      <c r="J17" s="49"/>
      <c r="K17" s="27">
        <f t="array" ref="K17:M17">TRANSPOSE(MMULT($AI$10:$AK$12,TRANSPOSE(G17:I17)))</f>
        <v>1</v>
      </c>
      <c r="L17" s="27">
        <v>0.99999999999999889</v>
      </c>
      <c r="M17" s="27">
        <v>1</v>
      </c>
      <c r="N17" s="34" t="s">
        <v>34</v>
      </c>
      <c r="O17" s="48">
        <v>2</v>
      </c>
      <c r="P17" s="48">
        <v>-1</v>
      </c>
      <c r="Q17" s="48">
        <v>-1</v>
      </c>
      <c r="R17" s="48">
        <v>0</v>
      </c>
      <c r="S17" s="34" t="s">
        <v>34</v>
      </c>
      <c r="T17" s="48">
        <f>O17-Q17</f>
        <v>3</v>
      </c>
      <c r="U17" s="48">
        <f>P17-Q17</f>
        <v>0</v>
      </c>
      <c r="V17" s="48">
        <f>R17</f>
        <v>0</v>
      </c>
      <c r="W17" s="34" t="s">
        <v>34</v>
      </c>
      <c r="X17" s="48">
        <v>1</v>
      </c>
      <c r="Y17" s="48">
        <f>(-T17+U17+V17)/3</f>
        <v>-1</v>
      </c>
      <c r="Z17" s="48">
        <f>(-U17+V17)/3</f>
        <v>0</v>
      </c>
      <c r="AA17" s="48">
        <v>4.9800000000000004</v>
      </c>
      <c r="AB17" s="51">
        <f t="array" ref="AB17">SQRT(MMULT(X17:Z17,MMULT(AQ5:AS7,TRANSPOSE(X17:Z17))))</f>
        <v>4.9869424004923379</v>
      </c>
      <c r="AC17" s="33"/>
      <c r="AE17" s="37">
        <f>(2*X19-Y19-Z19)/3</f>
        <v>0.33333333333333331</v>
      </c>
      <c r="AF17" s="37">
        <f>(X19+Y19-2*Z19)/3</f>
        <v>-0.33333333333333331</v>
      </c>
      <c r="AG17" s="37">
        <f>(X19+Y19+Z19)/3</f>
        <v>0.66666666666666663</v>
      </c>
      <c r="AM17" s="38">
        <v>2.9999999999999996</v>
      </c>
    </row>
    <row r="18" spans="1:41" s="38" customFormat="1" ht="14" x14ac:dyDescent="0.2">
      <c r="A18" s="68"/>
      <c r="B18" s="53">
        <v>0</v>
      </c>
      <c r="C18" s="53">
        <v>0</v>
      </c>
      <c r="D18" s="53">
        <v>0</v>
      </c>
      <c r="E18" s="53">
        <v>1</v>
      </c>
      <c r="F18" s="54"/>
      <c r="G18" s="53">
        <f t="shared" si="3"/>
        <v>0</v>
      </c>
      <c r="H18" s="53">
        <f t="shared" si="3"/>
        <v>0</v>
      </c>
      <c r="I18" s="55">
        <v>3</v>
      </c>
      <c r="J18" s="54"/>
      <c r="K18" s="56">
        <f t="array" ref="K18:M18">TRANSPOSE(MMULT($AI$10:$AK$12,TRANSPOSE(G18:I18)))</f>
        <v>1</v>
      </c>
      <c r="L18" s="56">
        <v>0.99999999999999889</v>
      </c>
      <c r="M18" s="56">
        <v>1</v>
      </c>
      <c r="N18" s="35">
        <v>0.3</v>
      </c>
      <c r="O18" s="53">
        <v>-1</v>
      </c>
      <c r="P18" s="53">
        <v>2</v>
      </c>
      <c r="Q18" s="53">
        <v>-1</v>
      </c>
      <c r="R18" s="75">
        <v>0</v>
      </c>
      <c r="S18" s="57">
        <v>0.33</v>
      </c>
      <c r="T18" s="53">
        <f>O18-Q18</f>
        <v>0</v>
      </c>
      <c r="U18" s="53">
        <f>P18-Q18</f>
        <v>3</v>
      </c>
      <c r="V18" s="53">
        <f>R18</f>
        <v>0</v>
      </c>
      <c r="W18" s="57"/>
      <c r="X18" s="53">
        <v>0</v>
      </c>
      <c r="Y18" s="53">
        <f>(-T18+U18+V18)/3</f>
        <v>1</v>
      </c>
      <c r="Z18" s="53">
        <f>(-U18+V18)/3</f>
        <v>-1</v>
      </c>
      <c r="AA18" s="53"/>
      <c r="AB18" s="58">
        <f t="array" ref="AB18">SQRT(MMULT(X18:Z18,MMULT(AQ5:AS7,TRANSPOSE(X18:Z18))))</f>
        <v>4.9869424004923379</v>
      </c>
      <c r="AC18" s="43"/>
      <c r="AE18" s="37"/>
      <c r="AF18" s="37"/>
      <c r="AG18" s="37"/>
    </row>
    <row r="19" spans="1:41" s="38" customFormat="1" ht="15" thickBot="1" x14ac:dyDescent="0.25">
      <c r="A19" s="59"/>
      <c r="B19" s="60">
        <v>0</v>
      </c>
      <c r="C19" s="60">
        <v>0</v>
      </c>
      <c r="D19" s="60">
        <v>0</v>
      </c>
      <c r="E19" s="60">
        <v>1</v>
      </c>
      <c r="F19" s="61"/>
      <c r="G19" s="60">
        <f t="shared" si="3"/>
        <v>0</v>
      </c>
      <c r="H19" s="60">
        <f t="shared" si="3"/>
        <v>0</v>
      </c>
      <c r="I19" s="62">
        <v>3</v>
      </c>
      <c r="J19" s="61"/>
      <c r="K19" s="63">
        <f t="array" ref="K19:M19">TRANSPOSE(MMULT($AI$10:$AK$12,TRANSPOSE(G19:I19)))</f>
        <v>1</v>
      </c>
      <c r="L19" s="63">
        <v>0.99999999999999889</v>
      </c>
      <c r="M19" s="63">
        <v>1</v>
      </c>
      <c r="N19" s="36"/>
      <c r="O19" s="60">
        <v>-1</v>
      </c>
      <c r="P19" s="60">
        <v>-1</v>
      </c>
      <c r="Q19" s="60">
        <v>2</v>
      </c>
      <c r="R19" s="76">
        <v>0</v>
      </c>
      <c r="S19" s="64"/>
      <c r="T19" s="60">
        <f>O19-Q19</f>
        <v>-3</v>
      </c>
      <c r="U19" s="60">
        <f>P19-Q19</f>
        <v>-3</v>
      </c>
      <c r="V19" s="60">
        <f>R19</f>
        <v>0</v>
      </c>
      <c r="W19" s="64"/>
      <c r="X19" s="60">
        <v>1</v>
      </c>
      <c r="Y19" s="60">
        <f>(-T19+U19+V19)/3</f>
        <v>0</v>
      </c>
      <c r="Z19" s="60">
        <f>(-U19+V19)/3</f>
        <v>1</v>
      </c>
      <c r="AA19" s="60"/>
      <c r="AB19" s="65">
        <f t="array" ref="AB19">SQRT(MMULT(X19:Z19,MMULT(AQ5:AS7,TRANSPOSE(X19:Z19))))</f>
        <v>11.73426203449419</v>
      </c>
      <c r="AC19" s="33"/>
      <c r="AD19" s="38">
        <f t="array" ref="AD19">SQRT(MMULT(T25:V25,MMULT(AQ10:AS12,TRANSPOSE(T25:V25))))</f>
        <v>8.6429335297686993</v>
      </c>
      <c r="AE19" s="37">
        <f>(2*X25-Y25-Z25)/3</f>
        <v>1</v>
      </c>
      <c r="AF19" s="37">
        <f>(X25+Y25-2*Z25)/3</f>
        <v>2</v>
      </c>
      <c r="AG19" s="37">
        <f>(X25+Y25+Z25)/3</f>
        <v>0</v>
      </c>
    </row>
    <row r="20" spans="1:41" s="38" customFormat="1" thickTop="1" thickBot="1" x14ac:dyDescent="0.25">
      <c r="A20" s="45" t="s">
        <v>29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3"/>
      <c r="N20" s="33" t="s">
        <v>38</v>
      </c>
      <c r="O20" s="43"/>
      <c r="P20" s="43"/>
      <c r="Q20" s="43"/>
      <c r="R20" s="43"/>
      <c r="S20" s="43"/>
      <c r="T20" s="43"/>
      <c r="U20" s="43"/>
      <c r="V20" s="43"/>
      <c r="W20" s="43"/>
      <c r="X20" s="43"/>
      <c r="Y20" s="43"/>
      <c r="Z20" s="43"/>
      <c r="AA20" s="43"/>
      <c r="AB20" s="46"/>
      <c r="AC20" s="33"/>
      <c r="AE20" s="37">
        <f>(2*X26-Y26-Z26)/3</f>
        <v>-2</v>
      </c>
      <c r="AF20" s="37">
        <f>(X26+Y26-2*Z26)/3</f>
        <v>-1</v>
      </c>
      <c r="AG20" s="37">
        <f>(X26+Y26+Z26)/3</f>
        <v>0</v>
      </c>
    </row>
    <row r="21" spans="1:41" s="38" customFormat="1" ht="15" thickTop="1" x14ac:dyDescent="0.2">
      <c r="A21" s="47"/>
      <c r="B21" s="48">
        <v>-1</v>
      </c>
      <c r="C21" s="48">
        <v>2</v>
      </c>
      <c r="D21" s="48">
        <v>-1</v>
      </c>
      <c r="E21" s="48">
        <v>0</v>
      </c>
      <c r="F21" s="49"/>
      <c r="G21" s="48">
        <f>B21</f>
        <v>-1</v>
      </c>
      <c r="H21" s="48">
        <v>2</v>
      </c>
      <c r="I21" s="50">
        <v>0</v>
      </c>
      <c r="J21" s="49"/>
      <c r="K21" s="77">
        <v>0</v>
      </c>
      <c r="L21" s="77">
        <v>-1</v>
      </c>
      <c r="M21" s="77">
        <v>1</v>
      </c>
      <c r="N21" s="34" t="s">
        <v>28</v>
      </c>
      <c r="O21" s="48">
        <v>1</v>
      </c>
      <c r="P21" s="48">
        <v>0</v>
      </c>
      <c r="Q21" s="48">
        <v>-1</v>
      </c>
      <c r="R21" s="48">
        <v>1</v>
      </c>
      <c r="S21" s="34" t="s">
        <v>28</v>
      </c>
      <c r="T21" s="48">
        <f>O21-Q21</f>
        <v>2</v>
      </c>
      <c r="U21" s="48">
        <f>P21-Q21</f>
        <v>1</v>
      </c>
      <c r="V21" s="48">
        <f>R21</f>
        <v>1</v>
      </c>
      <c r="W21" s="34" t="s">
        <v>28</v>
      </c>
      <c r="X21" s="48">
        <v>1</v>
      </c>
      <c r="Y21" s="48">
        <f>(-T21+U21+V21)/3</f>
        <v>0</v>
      </c>
      <c r="Z21" s="48">
        <f>(-U21+V21)/3</f>
        <v>0</v>
      </c>
      <c r="AA21" s="48">
        <v>6.37</v>
      </c>
      <c r="AB21" s="51">
        <f t="array" ref="AB21">SQRT(MMULT(X21:Z21,MMULT(AQ5:AS7,TRANSPOSE(X21:Z21))))</f>
        <v>6.375</v>
      </c>
      <c r="AC21" s="33"/>
      <c r="AE21" s="37">
        <f>(2*X27-Y27-Z27)/3</f>
        <v>1</v>
      </c>
      <c r="AF21" s="37">
        <f>(X27+Y27-2*Z27)/3</f>
        <v>-1</v>
      </c>
      <c r="AG21" s="37">
        <f>(X27+Y27+Z27)/3</f>
        <v>0</v>
      </c>
    </row>
    <row r="22" spans="1:41" s="38" customFormat="1" ht="14" x14ac:dyDescent="0.2">
      <c r="A22" s="68"/>
      <c r="B22" s="75">
        <v>2</v>
      </c>
      <c r="C22" s="75">
        <v>-1</v>
      </c>
      <c r="D22" s="75">
        <v>-1</v>
      </c>
      <c r="E22" s="75">
        <v>0</v>
      </c>
      <c r="F22" s="54"/>
      <c r="G22" s="53">
        <f>B22</f>
        <v>2</v>
      </c>
      <c r="H22" s="53">
        <f>C22</f>
        <v>-1</v>
      </c>
      <c r="I22" s="55">
        <f>R26</f>
        <v>0</v>
      </c>
      <c r="J22" s="54"/>
      <c r="K22" s="75">
        <v>1</v>
      </c>
      <c r="L22" s="75">
        <v>0</v>
      </c>
      <c r="M22" s="75">
        <v>-1</v>
      </c>
      <c r="N22" s="35">
        <v>0.33</v>
      </c>
      <c r="O22" s="53">
        <f>Q21</f>
        <v>-1</v>
      </c>
      <c r="P22" s="53">
        <f>O21</f>
        <v>1</v>
      </c>
      <c r="Q22" s="53">
        <f>P21</f>
        <v>0</v>
      </c>
      <c r="R22" s="53">
        <v>1</v>
      </c>
      <c r="S22" s="57">
        <v>0.33</v>
      </c>
      <c r="T22" s="53">
        <f>O22-Q22</f>
        <v>-1</v>
      </c>
      <c r="U22" s="53">
        <f>P22-Q22</f>
        <v>1</v>
      </c>
      <c r="V22" s="53">
        <f>R22</f>
        <v>1</v>
      </c>
      <c r="W22" s="78"/>
      <c r="X22" s="53">
        <v>0</v>
      </c>
      <c r="Y22" s="53">
        <f>(-T22+U22+V22)/3</f>
        <v>1</v>
      </c>
      <c r="Z22" s="53">
        <f>(-U22+V22)/3</f>
        <v>0</v>
      </c>
      <c r="AA22" s="53"/>
      <c r="AB22" s="58">
        <f t="array" ref="AB22">SQRT(MMULT(X22:Z22,MMULT(AQ5:AS7,TRANSPOSE(X22:Z22))))</f>
        <v>6.375</v>
      </c>
    </row>
    <row r="23" spans="1:41" s="38" customFormat="1" ht="15" thickBot="1" x14ac:dyDescent="0.25">
      <c r="A23" s="59"/>
      <c r="B23" s="76">
        <v>-1</v>
      </c>
      <c r="C23" s="76">
        <v>-1</v>
      </c>
      <c r="D23" s="76">
        <v>2</v>
      </c>
      <c r="E23" s="76">
        <v>1</v>
      </c>
      <c r="F23" s="61"/>
      <c r="G23" s="60">
        <v>-1</v>
      </c>
      <c r="H23" s="60">
        <v>-1</v>
      </c>
      <c r="I23" s="62">
        <v>2</v>
      </c>
      <c r="J23" s="61"/>
      <c r="K23" s="60">
        <v>-1</v>
      </c>
      <c r="L23" s="60">
        <v>1</v>
      </c>
      <c r="M23" s="60">
        <v>0</v>
      </c>
      <c r="N23" s="36"/>
      <c r="O23" s="60">
        <f>Q22</f>
        <v>0</v>
      </c>
      <c r="P23" s="60">
        <f>O22</f>
        <v>-1</v>
      </c>
      <c r="Q23" s="60">
        <f>O21</f>
        <v>1</v>
      </c>
      <c r="R23" s="60">
        <v>1</v>
      </c>
      <c r="S23" s="64"/>
      <c r="T23" s="60">
        <f>O23-Q23</f>
        <v>-1</v>
      </c>
      <c r="U23" s="60">
        <f>P23-Q23</f>
        <v>-2</v>
      </c>
      <c r="V23" s="60">
        <f>R23</f>
        <v>1</v>
      </c>
      <c r="W23" s="79"/>
      <c r="X23" s="60">
        <v>0</v>
      </c>
      <c r="Y23" s="60">
        <f>(-T23+U23+V23)/3</f>
        <v>0</v>
      </c>
      <c r="Z23" s="60">
        <f>(-U23+V23)/3</f>
        <v>1</v>
      </c>
      <c r="AA23" s="60"/>
      <c r="AB23" s="65">
        <f t="array" ref="AB23">SQRT(MMULT(X23:Z23,MMULT(AQ5:AS7,TRANSPOSE(X23:Z23))))</f>
        <v>6.375</v>
      </c>
    </row>
    <row r="24" spans="1:41" s="38" customFormat="1" thickTop="1" thickBot="1" x14ac:dyDescent="0.25">
      <c r="A24" s="45" t="s">
        <v>36</v>
      </c>
      <c r="B24" s="43"/>
      <c r="C24" s="43"/>
      <c r="D24" s="43"/>
      <c r="E24" s="43"/>
      <c r="F24" s="43"/>
      <c r="G24" s="43"/>
      <c r="H24" s="43"/>
      <c r="I24" s="43"/>
      <c r="J24" s="43"/>
      <c r="K24" s="43"/>
      <c r="L24" s="43"/>
      <c r="M24" s="43"/>
      <c r="N24" s="33" t="s">
        <v>39</v>
      </c>
      <c r="O24" s="43"/>
      <c r="P24" s="43"/>
      <c r="Q24" s="43"/>
      <c r="R24" s="43"/>
      <c r="S24" s="43"/>
      <c r="T24" s="43"/>
      <c r="U24" s="43"/>
      <c r="V24" s="43"/>
      <c r="W24" s="43"/>
      <c r="X24" s="43"/>
      <c r="Y24" s="43"/>
      <c r="Z24" s="43"/>
      <c r="AA24" s="43"/>
      <c r="AB24" s="46"/>
      <c r="AM24" s="37"/>
      <c r="AN24" s="37"/>
      <c r="AO24" s="37"/>
    </row>
    <row r="25" spans="1:41" s="38" customFormat="1" ht="15" thickTop="1" x14ac:dyDescent="0.2">
      <c r="A25" s="80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2"/>
      <c r="N25" s="34" t="s">
        <v>35</v>
      </c>
      <c r="O25" s="66">
        <v>0</v>
      </c>
      <c r="P25" s="48">
        <v>1</v>
      </c>
      <c r="Q25" s="48">
        <v>-1</v>
      </c>
      <c r="R25" s="67">
        <v>0</v>
      </c>
      <c r="S25" s="83"/>
      <c r="T25" s="48">
        <f>O25-Q25</f>
        <v>1</v>
      </c>
      <c r="U25" s="48">
        <f>P25-Q25</f>
        <v>2</v>
      </c>
      <c r="V25" s="48">
        <f>R25</f>
        <v>0</v>
      </c>
      <c r="W25" s="83"/>
      <c r="X25" s="48">
        <v>1</v>
      </c>
      <c r="Y25" s="48">
        <f>(-T25+U25+V25)</f>
        <v>1</v>
      </c>
      <c r="Z25" s="48">
        <f>(-U25+V25)</f>
        <v>-2</v>
      </c>
      <c r="AA25" s="48">
        <v>9</v>
      </c>
      <c r="AB25" s="51">
        <f t="array" ref="AB25">SQRT(MMULT(X25:Z25,MMULT(AQ5:AS7,TRANSPOSE(X25:Z25))))</f>
        <v>8.6376376120722291</v>
      </c>
      <c r="AM25" s="37"/>
      <c r="AN25" s="37"/>
      <c r="AO25" s="37"/>
    </row>
    <row r="26" spans="1:41" s="38" customFormat="1" ht="14" x14ac:dyDescent="0.2">
      <c r="A26" s="84"/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6"/>
      <c r="N26" s="35">
        <v>1</v>
      </c>
      <c r="O26" s="87">
        <v>-1</v>
      </c>
      <c r="P26" s="75">
        <v>0</v>
      </c>
      <c r="Q26" s="75">
        <v>1</v>
      </c>
      <c r="R26" s="88">
        <v>0</v>
      </c>
      <c r="S26" s="57">
        <v>1</v>
      </c>
      <c r="T26" s="53">
        <f>O26-Q26</f>
        <v>-2</v>
      </c>
      <c r="U26" s="53">
        <f>P26-Q26</f>
        <v>-1</v>
      </c>
      <c r="V26" s="53">
        <f>R26</f>
        <v>0</v>
      </c>
      <c r="W26" s="57"/>
      <c r="X26" s="53">
        <v>-2</v>
      </c>
      <c r="Y26" s="53">
        <f>(-T26+U26+V26)</f>
        <v>1</v>
      </c>
      <c r="Z26" s="53">
        <f>(-U26+V26)</f>
        <v>1</v>
      </c>
      <c r="AA26" s="53"/>
      <c r="AB26" s="58">
        <f t="array" ref="AB26">SQRT(MMULT(X26:Z26,MMULT(AQ5:AS7,TRANSPOSE(X26:Z26))))</f>
        <v>8.6376376120722291</v>
      </c>
      <c r="AM26" s="37"/>
      <c r="AN26" s="37"/>
      <c r="AO26" s="37"/>
    </row>
    <row r="27" spans="1:41" ht="17" thickBot="1" x14ac:dyDescent="0.25">
      <c r="A27" s="89"/>
      <c r="B27" s="90"/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1"/>
      <c r="N27" s="36"/>
      <c r="O27" s="92">
        <v>1</v>
      </c>
      <c r="P27" s="76">
        <v>-1</v>
      </c>
      <c r="Q27" s="76">
        <v>0</v>
      </c>
      <c r="R27" s="93">
        <v>0</v>
      </c>
      <c r="S27" s="64"/>
      <c r="T27" s="60">
        <f>O27-Q27</f>
        <v>1</v>
      </c>
      <c r="U27" s="60">
        <f>P27-Q27</f>
        <v>-1</v>
      </c>
      <c r="V27" s="60">
        <f>R27</f>
        <v>0</v>
      </c>
      <c r="W27" s="64"/>
      <c r="X27" s="60">
        <v>1</v>
      </c>
      <c r="Y27" s="60">
        <f>(-T27+U27+V27)</f>
        <v>-2</v>
      </c>
      <c r="Z27" s="60">
        <f>(-U27+V27)</f>
        <v>1</v>
      </c>
      <c r="AA27" s="60"/>
      <c r="AB27" s="65">
        <f t="array" ref="AB27">SQRT(MMULT(X26:Z26,MMULT(AQ5:AS7,TRANSPOSE(X26:Z26))))</f>
        <v>8.6376376120722291</v>
      </c>
      <c r="AM27" s="9"/>
      <c r="AN27" s="9"/>
      <c r="AO27" s="9"/>
    </row>
    <row r="28" spans="1:41" ht="17" thickTop="1" x14ac:dyDescent="0.2">
      <c r="A28" t="s">
        <v>44</v>
      </c>
      <c r="O28" s="16" t="s">
        <v>42</v>
      </c>
      <c r="AM28" s="9"/>
      <c r="AN28" s="9"/>
      <c r="AO28" s="9"/>
    </row>
    <row r="29" spans="1:41" x14ac:dyDescent="0.2">
      <c r="A29" t="s">
        <v>41</v>
      </c>
      <c r="O29" t="s">
        <v>43</v>
      </c>
      <c r="P29" s="16"/>
      <c r="Q29" s="16"/>
      <c r="R29" s="16"/>
      <c r="S29" s="16"/>
      <c r="T29" s="16"/>
      <c r="U29" s="16"/>
      <c r="V29" s="16"/>
      <c r="W29" s="16"/>
      <c r="Z29" t="s">
        <v>45</v>
      </c>
      <c r="AB29" s="9"/>
      <c r="AM29" s="9"/>
      <c r="AN29" s="9"/>
      <c r="AO29" s="9"/>
    </row>
    <row r="30" spans="1:41" x14ac:dyDescent="0.2">
      <c r="A30" t="s">
        <v>46</v>
      </c>
      <c r="Y30" s="9"/>
      <c r="AM30" s="9"/>
      <c r="AN30" s="9"/>
      <c r="AO30" s="9"/>
    </row>
    <row r="31" spans="1:41" ht="21" x14ac:dyDescent="0.25">
      <c r="M31" s="110" t="s">
        <v>47</v>
      </c>
    </row>
    <row r="32" spans="1:41" s="38" customFormat="1" x14ac:dyDescent="0.2">
      <c r="A32" s="1" t="s">
        <v>54</v>
      </c>
      <c r="B32" s="2"/>
      <c r="C32" s="2"/>
      <c r="D32" s="2"/>
      <c r="E32" t="s">
        <v>53</v>
      </c>
      <c r="F32"/>
      <c r="G32"/>
      <c r="H32"/>
      <c r="I32"/>
      <c r="J32" t="s">
        <v>55</v>
      </c>
      <c r="K32"/>
      <c r="L32"/>
      <c r="M32"/>
      <c r="O32" t="s">
        <v>51</v>
      </c>
      <c r="P32"/>
      <c r="Q32"/>
      <c r="R32"/>
      <c r="S32"/>
      <c r="T32" t="s">
        <v>52</v>
      </c>
      <c r="U32"/>
      <c r="V32"/>
      <c r="W32"/>
      <c r="Y32"/>
      <c r="Z32"/>
    </row>
    <row r="33" spans="1:26" s="38" customFormat="1" ht="15" thickBot="1" x14ac:dyDescent="0.25">
      <c r="A33" s="45" t="s">
        <v>62</v>
      </c>
      <c r="E33" s="38" t="s">
        <v>61</v>
      </c>
      <c r="F33" s="38" t="s">
        <v>58</v>
      </c>
      <c r="N33" s="37"/>
    </row>
    <row r="34" spans="1:26" s="38" customFormat="1" ht="15" thickTop="1" x14ac:dyDescent="0.2">
      <c r="A34" s="94"/>
      <c r="B34" s="48">
        <v>1</v>
      </c>
      <c r="C34" s="48">
        <v>1</v>
      </c>
      <c r="D34" s="48">
        <v>0</v>
      </c>
      <c r="E34" s="39"/>
      <c r="F34" s="28">
        <v>2</v>
      </c>
      <c r="G34" s="28">
        <v>3</v>
      </c>
      <c r="H34" s="28">
        <v>3</v>
      </c>
      <c r="I34" s="39"/>
      <c r="J34" s="48">
        <v>0</v>
      </c>
      <c r="K34" s="48">
        <v>1</v>
      </c>
      <c r="L34" s="48">
        <v>-1</v>
      </c>
      <c r="M34" s="48">
        <v>2</v>
      </c>
      <c r="N34" s="39"/>
      <c r="O34" s="48">
        <v>-1</v>
      </c>
      <c r="P34" s="48">
        <v>0</v>
      </c>
      <c r="Q34" s="48">
        <v>1</v>
      </c>
      <c r="R34" s="48">
        <v>8</v>
      </c>
      <c r="S34" s="39"/>
      <c r="T34" s="48">
        <f t="shared" ref="T34:T36" si="4">O34</f>
        <v>-1</v>
      </c>
      <c r="U34" s="48">
        <f t="shared" ref="U34:U36" si="5">P34</f>
        <v>0</v>
      </c>
      <c r="V34" s="50">
        <f>R34</f>
        <v>8</v>
      </c>
    </row>
    <row r="35" spans="1:26" s="38" customFormat="1" ht="14" x14ac:dyDescent="0.2">
      <c r="A35" s="95"/>
      <c r="B35" s="53">
        <v>1</v>
      </c>
      <c r="C35" s="53">
        <v>0</v>
      </c>
      <c r="D35" s="53">
        <v>1</v>
      </c>
      <c r="E35" s="42"/>
      <c r="F35" s="96">
        <v>3</v>
      </c>
      <c r="G35" s="96">
        <v>2</v>
      </c>
      <c r="H35" s="96">
        <v>3</v>
      </c>
      <c r="I35" s="42"/>
      <c r="J35" s="53">
        <v>-1</v>
      </c>
      <c r="K35" s="53">
        <v>0</v>
      </c>
      <c r="L35" s="53">
        <v>1</v>
      </c>
      <c r="M35" s="53">
        <v>2</v>
      </c>
      <c r="N35" s="40"/>
      <c r="O35" s="53">
        <v>1</v>
      </c>
      <c r="P35" s="53">
        <v>-1</v>
      </c>
      <c r="Q35" s="53">
        <v>0</v>
      </c>
      <c r="R35" s="53">
        <v>8</v>
      </c>
      <c r="S35" s="42"/>
      <c r="T35" s="53">
        <f t="shared" si="4"/>
        <v>1</v>
      </c>
      <c r="U35" s="53">
        <f t="shared" si="5"/>
        <v>-1</v>
      </c>
      <c r="V35" s="55">
        <f>R35</f>
        <v>8</v>
      </c>
    </row>
    <row r="36" spans="1:26" s="38" customFormat="1" ht="15" thickBot="1" x14ac:dyDescent="0.25">
      <c r="A36" s="97"/>
      <c r="B36" s="60">
        <v>0</v>
      </c>
      <c r="C36" s="60">
        <v>1</v>
      </c>
      <c r="D36" s="60">
        <v>1</v>
      </c>
      <c r="E36" s="41"/>
      <c r="F36" s="98">
        <v>3</v>
      </c>
      <c r="G36" s="98">
        <v>3</v>
      </c>
      <c r="H36" s="98">
        <v>2</v>
      </c>
      <c r="I36" s="41"/>
      <c r="J36" s="60">
        <v>1</v>
      </c>
      <c r="K36" s="60">
        <v>-1</v>
      </c>
      <c r="L36" s="60">
        <v>0</v>
      </c>
      <c r="M36" s="60">
        <v>2</v>
      </c>
      <c r="N36" s="41"/>
      <c r="O36" s="60">
        <v>0</v>
      </c>
      <c r="P36" s="60">
        <v>1</v>
      </c>
      <c r="Q36" s="60">
        <v>-1</v>
      </c>
      <c r="R36" s="60">
        <v>8</v>
      </c>
      <c r="S36" s="41"/>
      <c r="T36" s="60">
        <f t="shared" si="4"/>
        <v>0</v>
      </c>
      <c r="U36" s="60">
        <f t="shared" si="5"/>
        <v>1</v>
      </c>
      <c r="V36" s="62">
        <f>R36</f>
        <v>8</v>
      </c>
    </row>
    <row r="37" spans="1:26" s="38" customFormat="1" thickTop="1" thickBot="1" x14ac:dyDescent="0.25">
      <c r="A37" s="45" t="s">
        <v>63</v>
      </c>
      <c r="B37" s="43"/>
      <c r="C37" s="43"/>
      <c r="D37" s="43"/>
      <c r="E37" s="43" t="s">
        <v>64</v>
      </c>
      <c r="F37" s="43" t="s">
        <v>57</v>
      </c>
      <c r="G37" s="43"/>
      <c r="H37" s="43"/>
      <c r="I37" s="43"/>
      <c r="J37" s="43"/>
      <c r="K37" s="43"/>
      <c r="L37" s="43"/>
      <c r="M37" s="43"/>
      <c r="N37" s="37"/>
    </row>
    <row r="38" spans="1:26" s="38" customFormat="1" ht="15" thickTop="1" x14ac:dyDescent="0.2">
      <c r="A38" s="94"/>
      <c r="B38" s="77">
        <v>1</v>
      </c>
      <c r="C38" s="77">
        <v>0</v>
      </c>
      <c r="D38" s="77">
        <v>0</v>
      </c>
      <c r="E38" s="39"/>
      <c r="F38" s="28">
        <f t="array" ref="F38:H38">TRANSPOSE(MMULT($AI$10:$AK$12,TRANSPOSE(T38:V38)))</f>
        <v>2</v>
      </c>
      <c r="G38" s="28">
        <v>0.99999999999999889</v>
      </c>
      <c r="H38" s="28">
        <v>1.0000000000000002</v>
      </c>
      <c r="I38" s="39"/>
      <c r="J38" s="48">
        <v>1</v>
      </c>
      <c r="K38" s="48">
        <v>0</v>
      </c>
      <c r="L38" s="48">
        <v>-1</v>
      </c>
      <c r="M38" s="48">
        <v>1</v>
      </c>
      <c r="N38" s="39"/>
      <c r="O38" s="48">
        <v>1</v>
      </c>
      <c r="P38" s="48">
        <v>0</v>
      </c>
      <c r="Q38" s="48">
        <v>-1</v>
      </c>
      <c r="R38" s="48">
        <v>4</v>
      </c>
      <c r="S38" s="39"/>
      <c r="T38" s="48">
        <f t="shared" ref="T38:T40" si="6">O38</f>
        <v>1</v>
      </c>
      <c r="U38" s="48">
        <f t="shared" ref="U38:U40" si="7">P38</f>
        <v>0</v>
      </c>
      <c r="V38" s="50">
        <f>R38</f>
        <v>4</v>
      </c>
    </row>
    <row r="39" spans="1:26" s="38" customFormat="1" ht="14" x14ac:dyDescent="0.2">
      <c r="A39" s="95"/>
      <c r="B39" s="75">
        <v>0</v>
      </c>
      <c r="C39" s="75">
        <v>1</v>
      </c>
      <c r="D39" s="75">
        <v>0</v>
      </c>
      <c r="E39" s="42"/>
      <c r="F39" s="96">
        <f t="array" ref="F39:H39">TRANSPOSE(MMULT($AI$10:$AK$12,TRANSPOSE(T39:V39)))</f>
        <v>1</v>
      </c>
      <c r="G39" s="96">
        <v>1.9999999999999978</v>
      </c>
      <c r="H39" s="96">
        <v>0.99999999999999956</v>
      </c>
      <c r="I39" s="42"/>
      <c r="J39" s="53">
        <v>-1</v>
      </c>
      <c r="K39" s="53">
        <v>1</v>
      </c>
      <c r="L39" s="53">
        <v>0</v>
      </c>
      <c r="M39" s="53">
        <v>1</v>
      </c>
      <c r="N39" s="42"/>
      <c r="O39" s="53">
        <v>-1</v>
      </c>
      <c r="P39" s="53">
        <v>1</v>
      </c>
      <c r="Q39" s="53">
        <v>0</v>
      </c>
      <c r="R39" s="53">
        <v>4</v>
      </c>
      <c r="S39" s="42"/>
      <c r="T39" s="53">
        <f t="shared" si="6"/>
        <v>-1</v>
      </c>
      <c r="U39" s="53">
        <f t="shared" si="7"/>
        <v>1</v>
      </c>
      <c r="V39" s="55">
        <f>R39</f>
        <v>4</v>
      </c>
    </row>
    <row r="40" spans="1:26" s="38" customFormat="1" ht="15" thickBot="1" x14ac:dyDescent="0.25">
      <c r="A40" s="97"/>
      <c r="B40" s="76">
        <v>0</v>
      </c>
      <c r="C40" s="76">
        <v>0</v>
      </c>
      <c r="D40" s="76">
        <v>1</v>
      </c>
      <c r="E40" s="41"/>
      <c r="F40" s="98">
        <f t="array" ref="F40:H40">TRANSPOSE(MMULT($AI$10:$AK$12,TRANSPOSE(T40:V40)))</f>
        <v>1</v>
      </c>
      <c r="G40" s="98">
        <v>0.99999999999999889</v>
      </c>
      <c r="H40" s="98">
        <v>2</v>
      </c>
      <c r="I40" s="41"/>
      <c r="J40" s="60">
        <v>0</v>
      </c>
      <c r="K40" s="60">
        <v>-1</v>
      </c>
      <c r="L40" s="60">
        <v>1</v>
      </c>
      <c r="M40" s="60">
        <v>1</v>
      </c>
      <c r="N40" s="41"/>
      <c r="O40" s="60">
        <v>0</v>
      </c>
      <c r="P40" s="60">
        <v>-1</v>
      </c>
      <c r="Q40" s="60">
        <v>1</v>
      </c>
      <c r="R40" s="60">
        <v>4</v>
      </c>
      <c r="S40" s="41"/>
      <c r="T40" s="60">
        <f t="shared" si="6"/>
        <v>0</v>
      </c>
      <c r="U40" s="60">
        <f t="shared" si="7"/>
        <v>-1</v>
      </c>
      <c r="V40" s="62">
        <f>R40</f>
        <v>4</v>
      </c>
    </row>
    <row r="41" spans="1:26" s="38" customFormat="1" thickTop="1" thickBot="1" x14ac:dyDescent="0.25">
      <c r="A41" s="45" t="s">
        <v>65</v>
      </c>
      <c r="B41" s="43"/>
      <c r="C41" s="43"/>
      <c r="D41" s="43"/>
      <c r="E41" s="38" t="s">
        <v>60</v>
      </c>
      <c r="F41" s="43" t="s">
        <v>56</v>
      </c>
      <c r="G41" s="43"/>
      <c r="H41" s="43"/>
      <c r="I41" s="43"/>
      <c r="K41" s="43"/>
      <c r="L41" s="43"/>
      <c r="M41" s="43"/>
      <c r="N41" s="37"/>
    </row>
    <row r="42" spans="1:26" s="38" customFormat="1" ht="15" thickTop="1" x14ac:dyDescent="0.2">
      <c r="A42" s="94"/>
      <c r="B42" s="48">
        <v>0</v>
      </c>
      <c r="C42" s="48">
        <v>1</v>
      </c>
      <c r="D42" s="48">
        <v>-1</v>
      </c>
      <c r="E42" s="39"/>
      <c r="F42" s="77">
        <v>0</v>
      </c>
      <c r="G42" s="48">
        <v>1</v>
      </c>
      <c r="H42" s="48">
        <v>-1</v>
      </c>
      <c r="I42" s="39"/>
      <c r="J42" s="99">
        <v>-1</v>
      </c>
      <c r="K42" s="99">
        <v>2</v>
      </c>
      <c r="L42" s="99">
        <v>-1</v>
      </c>
      <c r="M42" s="99">
        <v>0</v>
      </c>
      <c r="N42" s="39"/>
      <c r="O42" s="99">
        <v>-1</v>
      </c>
      <c r="P42" s="99">
        <v>2</v>
      </c>
      <c r="Q42" s="99">
        <v>-1</v>
      </c>
      <c r="R42" s="99">
        <v>0</v>
      </c>
      <c r="S42" s="39"/>
      <c r="T42" s="48">
        <v>-1</v>
      </c>
      <c r="U42" s="48">
        <v>2</v>
      </c>
      <c r="V42" s="50">
        <v>0</v>
      </c>
    </row>
    <row r="43" spans="1:26" s="38" customFormat="1" ht="14" x14ac:dyDescent="0.2">
      <c r="A43" s="95"/>
      <c r="B43" s="53">
        <v>-1</v>
      </c>
      <c r="C43" s="53">
        <v>0</v>
      </c>
      <c r="D43" s="53">
        <v>1</v>
      </c>
      <c r="E43" s="42"/>
      <c r="F43" s="75">
        <v>-1</v>
      </c>
      <c r="G43" s="53">
        <v>0</v>
      </c>
      <c r="H43" s="53">
        <v>1</v>
      </c>
      <c r="I43" s="42"/>
      <c r="J43" s="53">
        <v>-1</v>
      </c>
      <c r="K43" s="53">
        <v>-1</v>
      </c>
      <c r="L43" s="53">
        <v>2</v>
      </c>
      <c r="M43" s="53">
        <v>0</v>
      </c>
      <c r="N43" s="42"/>
      <c r="O43" s="53">
        <v>-1</v>
      </c>
      <c r="P43" s="53">
        <v>-1</v>
      </c>
      <c r="Q43" s="53">
        <v>2</v>
      </c>
      <c r="R43" s="53">
        <v>0</v>
      </c>
      <c r="S43" s="42"/>
      <c r="T43" s="53">
        <v>-1</v>
      </c>
      <c r="U43" s="53">
        <v>-1</v>
      </c>
      <c r="V43" s="55">
        <v>0</v>
      </c>
    </row>
    <row r="44" spans="1:26" s="38" customFormat="1" ht="15" thickBot="1" x14ac:dyDescent="0.25">
      <c r="A44" s="97"/>
      <c r="B44" s="60">
        <v>1</v>
      </c>
      <c r="C44" s="60">
        <v>-1</v>
      </c>
      <c r="D44" s="60">
        <v>0</v>
      </c>
      <c r="E44" s="41"/>
      <c r="F44" s="76">
        <v>1</v>
      </c>
      <c r="G44" s="60">
        <v>-1</v>
      </c>
      <c r="H44" s="60">
        <v>0</v>
      </c>
      <c r="I44" s="41"/>
      <c r="J44" s="60">
        <v>2</v>
      </c>
      <c r="K44" s="60">
        <v>-1</v>
      </c>
      <c r="L44" s="60">
        <v>-1</v>
      </c>
      <c r="M44" s="60">
        <v>0</v>
      </c>
      <c r="N44" s="41"/>
      <c r="O44" s="60">
        <v>2</v>
      </c>
      <c r="P44" s="60">
        <v>-1</v>
      </c>
      <c r="Q44" s="60">
        <v>-1</v>
      </c>
      <c r="R44" s="60">
        <v>0</v>
      </c>
      <c r="S44" s="41"/>
      <c r="T44" s="60">
        <v>2</v>
      </c>
      <c r="U44" s="60">
        <v>-1</v>
      </c>
      <c r="V44" s="62">
        <v>0</v>
      </c>
    </row>
    <row r="45" spans="1:26" s="38" customFormat="1" thickTop="1" thickBot="1" x14ac:dyDescent="0.25">
      <c r="A45" s="33" t="s">
        <v>66</v>
      </c>
      <c r="B45" s="43"/>
      <c r="C45" s="43"/>
      <c r="D45" s="43"/>
      <c r="E45" s="100" t="s">
        <v>48</v>
      </c>
      <c r="F45" s="43" t="s">
        <v>67</v>
      </c>
      <c r="I45" s="43"/>
      <c r="J45" s="43"/>
      <c r="K45" s="43"/>
      <c r="L45" s="43"/>
      <c r="M45" s="43"/>
      <c r="N45" s="43"/>
      <c r="O45" s="46"/>
    </row>
    <row r="46" spans="1:26" s="38" customFormat="1" ht="15" thickTop="1" x14ac:dyDescent="0.2">
      <c r="A46" s="101" t="s">
        <v>27</v>
      </c>
      <c r="B46" s="77">
        <v>1</v>
      </c>
      <c r="C46" s="77">
        <v>0</v>
      </c>
      <c r="D46" s="77">
        <v>0</v>
      </c>
      <c r="E46" s="102" t="s">
        <v>27</v>
      </c>
      <c r="F46" s="77">
        <v>-3</v>
      </c>
      <c r="G46" s="77">
        <v>1</v>
      </c>
      <c r="H46" s="77">
        <v>1</v>
      </c>
      <c r="I46" s="102" t="s">
        <v>27</v>
      </c>
      <c r="J46" s="48">
        <v>1</v>
      </c>
      <c r="K46" s="48">
        <v>0</v>
      </c>
      <c r="L46" s="48">
        <v>-1</v>
      </c>
      <c r="M46" s="48">
        <v>1</v>
      </c>
      <c r="N46" s="29" t="s">
        <v>27</v>
      </c>
      <c r="O46" s="48">
        <v>4</v>
      </c>
      <c r="P46" s="48">
        <v>0</v>
      </c>
      <c r="Q46" s="48">
        <v>-4</v>
      </c>
      <c r="R46" s="48">
        <v>1</v>
      </c>
      <c r="S46" s="29" t="s">
        <v>27</v>
      </c>
      <c r="T46" s="48">
        <v>8</v>
      </c>
      <c r="U46" s="48">
        <v>4</v>
      </c>
      <c r="V46" s="48">
        <f>M46</f>
        <v>1</v>
      </c>
      <c r="W46" s="48">
        <v>12.8</v>
      </c>
      <c r="X46" s="51"/>
      <c r="Z46" s="38" t="s">
        <v>59</v>
      </c>
    </row>
    <row r="47" spans="1:26" s="38" customFormat="1" ht="14" x14ac:dyDescent="0.2">
      <c r="A47" s="103"/>
      <c r="B47" s="53">
        <v>0</v>
      </c>
      <c r="C47" s="53">
        <v>1</v>
      </c>
      <c r="D47" s="53">
        <v>0</v>
      </c>
      <c r="E47" s="104"/>
      <c r="F47" s="75">
        <v>1</v>
      </c>
      <c r="G47" s="75">
        <v>-3</v>
      </c>
      <c r="H47" s="75">
        <v>1</v>
      </c>
      <c r="I47" s="104"/>
      <c r="J47" s="53">
        <v>-1</v>
      </c>
      <c r="K47" s="53">
        <v>1</v>
      </c>
      <c r="L47" s="53">
        <v>0</v>
      </c>
      <c r="M47" s="53">
        <v>1</v>
      </c>
      <c r="N47" s="44">
        <v>0.33</v>
      </c>
      <c r="O47" s="53">
        <v>-4</v>
      </c>
      <c r="P47" s="53">
        <v>4</v>
      </c>
      <c r="Q47" s="53">
        <v>0</v>
      </c>
      <c r="R47" s="53">
        <v>1</v>
      </c>
      <c r="S47" s="44"/>
      <c r="T47" s="53">
        <v>-4</v>
      </c>
      <c r="U47" s="53">
        <v>4</v>
      </c>
      <c r="V47" s="53">
        <f>M47</f>
        <v>1</v>
      </c>
      <c r="W47" s="53"/>
      <c r="X47" s="58"/>
    </row>
    <row r="48" spans="1:26" s="38" customFormat="1" ht="15" thickBot="1" x14ac:dyDescent="0.25">
      <c r="A48" s="105"/>
      <c r="B48" s="60">
        <v>0</v>
      </c>
      <c r="C48" s="60">
        <v>0</v>
      </c>
      <c r="D48" s="60">
        <v>1</v>
      </c>
      <c r="E48" s="106"/>
      <c r="F48" s="60">
        <v>1</v>
      </c>
      <c r="G48" s="60">
        <v>1</v>
      </c>
      <c r="H48" s="60">
        <v>-3</v>
      </c>
      <c r="I48" s="106"/>
      <c r="J48" s="60">
        <v>0</v>
      </c>
      <c r="K48" s="60">
        <v>-1</v>
      </c>
      <c r="L48" s="60">
        <v>1</v>
      </c>
      <c r="M48" s="60">
        <v>1</v>
      </c>
      <c r="N48" s="30"/>
      <c r="O48" s="60">
        <v>0</v>
      </c>
      <c r="P48" s="60">
        <v>-4</v>
      </c>
      <c r="Q48" s="60">
        <v>4</v>
      </c>
      <c r="R48" s="60">
        <v>1</v>
      </c>
      <c r="S48" s="107"/>
      <c r="T48" s="60">
        <v>-4</v>
      </c>
      <c r="U48" s="60">
        <v>-8</v>
      </c>
      <c r="V48" s="60">
        <f>M48</f>
        <v>1</v>
      </c>
      <c r="W48" s="60"/>
      <c r="X48" s="65"/>
    </row>
    <row r="49" spans="1:26" s="38" customFormat="1" thickTop="1" thickBot="1" x14ac:dyDescent="0.25">
      <c r="A49" s="33" t="s">
        <v>49</v>
      </c>
      <c r="B49" s="43"/>
      <c r="C49" s="43"/>
      <c r="D49" s="43"/>
      <c r="E49" s="100" t="s">
        <v>48</v>
      </c>
      <c r="F49" s="43"/>
      <c r="H49" s="43"/>
      <c r="I49" s="43"/>
      <c r="J49" s="43"/>
      <c r="K49" s="43"/>
      <c r="L49" s="43"/>
      <c r="M49" s="43"/>
      <c r="N49" s="43"/>
      <c r="O49" s="46"/>
    </row>
    <row r="50" spans="1:26" s="38" customFormat="1" ht="15" thickTop="1" x14ac:dyDescent="0.2">
      <c r="A50" s="101" t="s">
        <v>26</v>
      </c>
      <c r="B50" s="77">
        <v>1</v>
      </c>
      <c r="C50" s="77">
        <v>0</v>
      </c>
      <c r="D50" s="77">
        <v>0</v>
      </c>
      <c r="E50" s="102" t="s">
        <v>26</v>
      </c>
      <c r="F50" s="77">
        <v>-3</v>
      </c>
      <c r="G50" s="77">
        <v>1</v>
      </c>
      <c r="H50" s="77">
        <v>1</v>
      </c>
      <c r="I50" s="102" t="s">
        <v>26</v>
      </c>
      <c r="J50" s="48">
        <v>1</v>
      </c>
      <c r="K50" s="48">
        <v>0</v>
      </c>
      <c r="L50" s="48">
        <v>-1</v>
      </c>
      <c r="M50" s="48">
        <v>1</v>
      </c>
      <c r="N50" s="29" t="s">
        <v>26</v>
      </c>
      <c r="O50" s="48">
        <v>2</v>
      </c>
      <c r="P50" s="48">
        <v>0</v>
      </c>
      <c r="Q50" s="48">
        <v>-2</v>
      </c>
      <c r="R50" s="48">
        <v>-1</v>
      </c>
      <c r="S50" s="29" t="s">
        <v>26</v>
      </c>
      <c r="T50" s="48">
        <v>4</v>
      </c>
      <c r="U50" s="48">
        <v>2</v>
      </c>
      <c r="V50" s="48">
        <v>-1</v>
      </c>
      <c r="W50" s="48"/>
      <c r="X50" s="51"/>
    </row>
    <row r="51" spans="1:26" s="38" customFormat="1" ht="14" x14ac:dyDescent="0.2">
      <c r="A51" s="103"/>
      <c r="B51" s="53">
        <v>0</v>
      </c>
      <c r="C51" s="53">
        <v>1</v>
      </c>
      <c r="D51" s="53">
        <v>0</v>
      </c>
      <c r="E51" s="104"/>
      <c r="F51" s="75">
        <v>1</v>
      </c>
      <c r="G51" s="75">
        <v>-3</v>
      </c>
      <c r="H51" s="75">
        <v>1</v>
      </c>
      <c r="I51" s="104"/>
      <c r="J51" s="53">
        <v>-1</v>
      </c>
      <c r="K51" s="53">
        <v>1</v>
      </c>
      <c r="L51" s="53">
        <v>0</v>
      </c>
      <c r="M51" s="53">
        <v>1</v>
      </c>
      <c r="N51" s="44">
        <v>0.33</v>
      </c>
      <c r="O51" s="53">
        <v>-2</v>
      </c>
      <c r="P51" s="53">
        <v>2</v>
      </c>
      <c r="Q51" s="53">
        <v>0</v>
      </c>
      <c r="R51" s="53">
        <v>-1</v>
      </c>
      <c r="S51" s="44"/>
      <c r="T51" s="53">
        <v>-2</v>
      </c>
      <c r="U51" s="53">
        <v>2</v>
      </c>
      <c r="V51" s="53">
        <v>-1</v>
      </c>
      <c r="W51" s="53"/>
      <c r="X51" s="58"/>
    </row>
    <row r="52" spans="1:26" s="38" customFormat="1" ht="15" thickBot="1" x14ac:dyDescent="0.25">
      <c r="A52" s="105"/>
      <c r="B52" s="60">
        <v>0</v>
      </c>
      <c r="C52" s="60">
        <v>0</v>
      </c>
      <c r="D52" s="60">
        <v>1</v>
      </c>
      <c r="E52" s="106"/>
      <c r="F52" s="60">
        <v>1</v>
      </c>
      <c r="G52" s="60">
        <v>1</v>
      </c>
      <c r="H52" s="60">
        <v>-3</v>
      </c>
      <c r="I52" s="106"/>
      <c r="J52" s="60">
        <v>0</v>
      </c>
      <c r="K52" s="60">
        <v>-1</v>
      </c>
      <c r="L52" s="60">
        <v>1</v>
      </c>
      <c r="M52" s="60">
        <v>1</v>
      </c>
      <c r="N52" s="30"/>
      <c r="O52" s="60">
        <v>0</v>
      </c>
      <c r="P52" s="60">
        <v>-2</v>
      </c>
      <c r="Q52" s="60">
        <v>2</v>
      </c>
      <c r="R52" s="60">
        <v>-1</v>
      </c>
      <c r="S52" s="107"/>
      <c r="T52" s="60">
        <v>-2</v>
      </c>
      <c r="U52" s="60">
        <v>-4</v>
      </c>
      <c r="V52" s="60">
        <v>-1</v>
      </c>
      <c r="W52" s="60"/>
      <c r="X52" s="65"/>
    </row>
    <row r="53" spans="1:26" s="38" customFormat="1" thickTop="1" thickBot="1" x14ac:dyDescent="0.25">
      <c r="A53" s="38" t="s">
        <v>50</v>
      </c>
      <c r="F53" s="38" t="s">
        <v>68</v>
      </c>
    </row>
    <row r="54" spans="1:26" s="38" customFormat="1" ht="15" thickTop="1" x14ac:dyDescent="0.2">
      <c r="A54" s="101" t="s">
        <v>34</v>
      </c>
      <c r="B54" s="77">
        <v>1</v>
      </c>
      <c r="C54" s="77">
        <v>0</v>
      </c>
      <c r="D54" s="77">
        <v>0</v>
      </c>
      <c r="E54" s="102" t="s">
        <v>34</v>
      </c>
      <c r="F54" s="77">
        <v>0</v>
      </c>
      <c r="G54" s="77">
        <v>-1</v>
      </c>
      <c r="H54" s="77">
        <v>1</v>
      </c>
      <c r="I54" s="102" t="s">
        <v>34</v>
      </c>
      <c r="J54" s="48">
        <v>-1</v>
      </c>
      <c r="K54" s="48">
        <v>2</v>
      </c>
      <c r="L54" s="48">
        <v>-1</v>
      </c>
      <c r="M54" s="48">
        <v>0</v>
      </c>
      <c r="N54" s="29" t="s">
        <v>34</v>
      </c>
      <c r="O54" s="48">
        <v>-1</v>
      </c>
      <c r="P54" s="48">
        <v>2</v>
      </c>
      <c r="Q54" s="48">
        <v>-1</v>
      </c>
      <c r="R54" s="48">
        <v>0</v>
      </c>
      <c r="S54" s="29" t="s">
        <v>34</v>
      </c>
      <c r="T54" s="48">
        <v>0</v>
      </c>
      <c r="U54" s="48">
        <v>1</v>
      </c>
      <c r="V54" s="48">
        <v>0</v>
      </c>
      <c r="W54" s="48"/>
      <c r="X54" s="51"/>
    </row>
    <row r="55" spans="1:26" s="38" customFormat="1" ht="14" x14ac:dyDescent="0.2">
      <c r="A55" s="103"/>
      <c r="B55" s="53">
        <v>0</v>
      </c>
      <c r="C55" s="53">
        <v>1</v>
      </c>
      <c r="D55" s="53">
        <v>0</v>
      </c>
      <c r="E55" s="104"/>
      <c r="F55" s="75">
        <v>1</v>
      </c>
      <c r="G55" s="75">
        <v>0</v>
      </c>
      <c r="H55" s="75">
        <v>-1</v>
      </c>
      <c r="I55" s="104"/>
      <c r="J55" s="53">
        <v>-1</v>
      </c>
      <c r="K55" s="53">
        <v>-1</v>
      </c>
      <c r="L55" s="53">
        <v>2</v>
      </c>
      <c r="M55" s="53">
        <v>0</v>
      </c>
      <c r="N55" s="44">
        <v>0.33</v>
      </c>
      <c r="O55" s="53">
        <v>-1</v>
      </c>
      <c r="P55" s="53">
        <v>-1</v>
      </c>
      <c r="Q55" s="53">
        <v>2</v>
      </c>
      <c r="R55" s="53">
        <v>0</v>
      </c>
      <c r="S55" s="44"/>
      <c r="T55" s="53">
        <v>1</v>
      </c>
      <c r="U55" s="53">
        <v>1</v>
      </c>
      <c r="V55" s="53">
        <v>0</v>
      </c>
      <c r="W55" s="53"/>
      <c r="X55" s="58"/>
    </row>
    <row r="56" spans="1:26" ht="17" thickBot="1" x14ac:dyDescent="0.25">
      <c r="A56" s="105"/>
      <c r="B56" s="60">
        <v>0</v>
      </c>
      <c r="C56" s="60">
        <v>0</v>
      </c>
      <c r="D56" s="60">
        <v>1</v>
      </c>
      <c r="E56" s="106"/>
      <c r="F56" s="60">
        <v>-1</v>
      </c>
      <c r="G56" s="60">
        <v>1</v>
      </c>
      <c r="H56" s="60">
        <v>0</v>
      </c>
      <c r="I56" s="106"/>
      <c r="J56" s="60">
        <v>2</v>
      </c>
      <c r="K56" s="60">
        <v>-1</v>
      </c>
      <c r="L56" s="60">
        <v>-1</v>
      </c>
      <c r="M56" s="60">
        <v>0</v>
      </c>
      <c r="N56" s="30"/>
      <c r="O56" s="60">
        <v>2</v>
      </c>
      <c r="P56" s="60">
        <v>-1</v>
      </c>
      <c r="Q56" s="60">
        <v>-1</v>
      </c>
      <c r="R56" s="60">
        <v>0</v>
      </c>
      <c r="S56" s="107"/>
      <c r="T56" s="60">
        <v>1</v>
      </c>
      <c r="U56" s="60">
        <v>0</v>
      </c>
      <c r="V56" s="60">
        <v>0</v>
      </c>
      <c r="W56" s="60"/>
      <c r="X56" s="65"/>
      <c r="Y56" s="38"/>
      <c r="Z56" s="38"/>
    </row>
    <row r="57" spans="1:26" ht="17" thickTop="1" x14ac:dyDescent="0.2">
      <c r="N57" s="38"/>
    </row>
    <row r="58" spans="1:26" x14ac:dyDescent="0.2">
      <c r="N58" s="38"/>
    </row>
    <row r="59" spans="1:26" x14ac:dyDescent="0.2">
      <c r="N59" s="38"/>
    </row>
    <row r="60" spans="1:26" x14ac:dyDescent="0.2">
      <c r="N60" s="38"/>
    </row>
    <row r="61" spans="1:26" x14ac:dyDescent="0.2">
      <c r="N61" s="38"/>
    </row>
    <row r="62" spans="1:26" x14ac:dyDescent="0.2">
      <c r="N62" s="38"/>
    </row>
    <row r="63" spans="1:26" x14ac:dyDescent="0.2">
      <c r="N63" s="38"/>
    </row>
    <row r="64" spans="1:26" x14ac:dyDescent="0.2">
      <c r="N64" s="38"/>
    </row>
    <row r="65" spans="14:14" x14ac:dyDescent="0.2">
      <c r="N65" s="38"/>
    </row>
    <row r="66" spans="14:14" x14ac:dyDescent="0.2">
      <c r="N66" s="38"/>
    </row>
    <row r="67" spans="14:14" x14ac:dyDescent="0.2">
      <c r="N67" s="38"/>
    </row>
    <row r="68" spans="14:14" x14ac:dyDescent="0.2">
      <c r="N68" s="38"/>
    </row>
    <row r="69" spans="14:14" x14ac:dyDescent="0.2">
      <c r="N69" s="38"/>
    </row>
    <row r="70" spans="14:14" x14ac:dyDescent="0.2">
      <c r="N70" s="38"/>
    </row>
    <row r="71" spans="14:14" x14ac:dyDescent="0.2">
      <c r="N71" s="38"/>
    </row>
    <row r="72" spans="14:14" x14ac:dyDescent="0.2">
      <c r="N72" s="38"/>
    </row>
    <row r="73" spans="14:14" x14ac:dyDescent="0.2">
      <c r="N73" s="38"/>
    </row>
  </sheetData>
  <phoneticPr fontId="2" type="noConversion"/>
  <pageMargins left="0.75" right="0.75" top="1" bottom="1" header="0.5" footer="0.5"/>
  <pageSetup orientation="landscape" horizontalDpi="4294967292" verticalDpi="4294967292"/>
  <headerFooter>
    <oddHeader>&amp;L_x000D_&amp;C_x000D__x000D_</oddHeader>
  </headerFooter>
  <colBreaks count="1" manualBreakCount="1">
    <brk id="28" max="1048575" man="1"/>
  </colBreaks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Evans</dc:creator>
  <cp:lastModifiedBy>Brian Evans</cp:lastModifiedBy>
  <cp:lastPrinted>2013-03-28T12:11:43Z</cp:lastPrinted>
  <dcterms:created xsi:type="dcterms:W3CDTF">2013-02-10T20:12:41Z</dcterms:created>
  <dcterms:modified xsi:type="dcterms:W3CDTF">2021-02-12T19:10:45Z</dcterms:modified>
</cp:coreProperties>
</file>